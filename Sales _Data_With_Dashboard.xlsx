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Z:\Drashti\"/>
    </mc:Choice>
  </mc:AlternateContent>
  <xr:revisionPtr revIDLastSave="0" documentId="13_ncr:1_{67BE9BDC-12DF-47B6-8C54-5F71A0A943EA}" xr6:coauthVersionLast="47" xr6:coauthVersionMax="47" xr10:uidLastSave="{00000000-0000-0000-0000-000000000000}"/>
  <bookViews>
    <workbookView xWindow="-120" yWindow="-120" windowWidth="29040" windowHeight="15840" activeTab="4" xr2:uid="{00000000-000D-0000-FFFF-FFFF00000000}"/>
  </bookViews>
  <sheets>
    <sheet name="practice deshboard" sheetId="3" r:id="rId1"/>
    <sheet name="Raw_Data" sheetId="1" r:id="rId2"/>
    <sheet name="Region_ Sale deshboard" sheetId="14" r:id="rId3"/>
    <sheet name="Sale_Person Deshboard" sheetId="10" r:id="rId4"/>
    <sheet name="final deshboard" sheetId="7" r:id="rId5"/>
  </sheets>
  <definedNames>
    <definedName name="Slicer_Category1">#N/A</definedName>
    <definedName name="Slicer_Month">#N/A</definedName>
    <definedName name="Slicer_Month1">#N/A</definedName>
    <definedName name="Slicer_Product_Name1">#N/A</definedName>
    <definedName name="Slicer_Region">#N/A</definedName>
    <definedName name="Slicer_Salesperson">#N/A</definedName>
    <definedName name="Slicer_Salespers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1" i="1" l="1"/>
  <c r="T1001" i="1"/>
  <c r="S1001" i="1"/>
  <c r="R1001" i="1"/>
  <c r="U1000" i="1"/>
  <c r="T1000" i="1"/>
  <c r="S1000" i="1"/>
  <c r="R1000" i="1"/>
  <c r="U999" i="1"/>
  <c r="T999" i="1"/>
  <c r="S999" i="1"/>
  <c r="R999" i="1"/>
  <c r="U998" i="1"/>
  <c r="T998" i="1"/>
  <c r="S998" i="1"/>
  <c r="R998" i="1"/>
  <c r="U997" i="1"/>
  <c r="T997" i="1"/>
  <c r="S997" i="1"/>
  <c r="R997" i="1"/>
  <c r="U996" i="1"/>
  <c r="T996" i="1"/>
  <c r="S996" i="1"/>
  <c r="R996" i="1"/>
  <c r="U995" i="1"/>
  <c r="T995" i="1"/>
  <c r="S995" i="1"/>
  <c r="R995" i="1"/>
  <c r="U994" i="1"/>
  <c r="T994" i="1"/>
  <c r="S994" i="1"/>
  <c r="R994" i="1"/>
  <c r="U993" i="1"/>
  <c r="T993" i="1"/>
  <c r="S993" i="1"/>
  <c r="R993" i="1"/>
  <c r="U992" i="1"/>
  <c r="T992" i="1"/>
  <c r="S992" i="1"/>
  <c r="R992" i="1"/>
  <c r="U991" i="1"/>
  <c r="T991" i="1"/>
  <c r="S991" i="1"/>
  <c r="R991" i="1"/>
  <c r="U990" i="1"/>
  <c r="T990" i="1"/>
  <c r="S990" i="1"/>
  <c r="R990" i="1"/>
  <c r="U989" i="1"/>
  <c r="T989" i="1"/>
  <c r="S989" i="1"/>
  <c r="R989" i="1"/>
  <c r="U988" i="1"/>
  <c r="T988" i="1"/>
  <c r="S988" i="1"/>
  <c r="R988" i="1"/>
  <c r="U987" i="1"/>
  <c r="T987" i="1"/>
  <c r="S987" i="1"/>
  <c r="R987" i="1"/>
  <c r="U986" i="1"/>
  <c r="T986" i="1"/>
  <c r="S986" i="1"/>
  <c r="R986" i="1"/>
  <c r="U985" i="1"/>
  <c r="T985" i="1"/>
  <c r="S985" i="1"/>
  <c r="R985" i="1"/>
  <c r="U984" i="1"/>
  <c r="T984" i="1"/>
  <c r="S984" i="1"/>
  <c r="R984" i="1"/>
  <c r="U983" i="1"/>
  <c r="T983" i="1"/>
  <c r="S983" i="1"/>
  <c r="R983" i="1"/>
  <c r="U982" i="1"/>
  <c r="T982" i="1"/>
  <c r="S982" i="1"/>
  <c r="R982" i="1"/>
  <c r="U981" i="1"/>
  <c r="T981" i="1"/>
  <c r="S981" i="1"/>
  <c r="R981" i="1"/>
  <c r="U980" i="1"/>
  <c r="T980" i="1"/>
  <c r="S980" i="1"/>
  <c r="R980" i="1"/>
  <c r="U979" i="1"/>
  <c r="T979" i="1"/>
  <c r="S979" i="1"/>
  <c r="R979" i="1"/>
  <c r="U978" i="1"/>
  <c r="T978" i="1"/>
  <c r="S978" i="1"/>
  <c r="R978" i="1"/>
  <c r="U977" i="1"/>
  <c r="T977" i="1"/>
  <c r="S977" i="1"/>
  <c r="R977" i="1"/>
  <c r="U976" i="1"/>
  <c r="T976" i="1"/>
  <c r="S976" i="1"/>
  <c r="R976" i="1"/>
  <c r="U975" i="1"/>
  <c r="T975" i="1"/>
  <c r="S975" i="1"/>
  <c r="R975" i="1"/>
  <c r="U974" i="1"/>
  <c r="T974" i="1"/>
  <c r="S974" i="1"/>
  <c r="R974" i="1"/>
  <c r="U973" i="1"/>
  <c r="T973" i="1"/>
  <c r="S973" i="1"/>
  <c r="R973" i="1"/>
  <c r="U972" i="1"/>
  <c r="T972" i="1"/>
  <c r="S972" i="1"/>
  <c r="R972" i="1"/>
  <c r="U971" i="1"/>
  <c r="T971" i="1"/>
  <c r="S971" i="1"/>
  <c r="R971" i="1"/>
  <c r="U970" i="1"/>
  <c r="T970" i="1"/>
  <c r="S970" i="1"/>
  <c r="R970" i="1"/>
  <c r="U969" i="1"/>
  <c r="T969" i="1"/>
  <c r="S969" i="1"/>
  <c r="R969" i="1"/>
  <c r="U968" i="1"/>
  <c r="T968" i="1"/>
  <c r="S968" i="1"/>
  <c r="R968" i="1"/>
  <c r="U967" i="1"/>
  <c r="T967" i="1"/>
  <c r="S967" i="1"/>
  <c r="R967" i="1"/>
  <c r="U966" i="1"/>
  <c r="T966" i="1"/>
  <c r="S966" i="1"/>
  <c r="R966" i="1"/>
  <c r="U965" i="1"/>
  <c r="T965" i="1"/>
  <c r="S965" i="1"/>
  <c r="R965" i="1"/>
  <c r="U964" i="1"/>
  <c r="T964" i="1"/>
  <c r="S964" i="1"/>
  <c r="R964" i="1"/>
  <c r="U963" i="1"/>
  <c r="T963" i="1"/>
  <c r="S963" i="1"/>
  <c r="R963" i="1"/>
  <c r="U962" i="1"/>
  <c r="T962" i="1"/>
  <c r="S962" i="1"/>
  <c r="R962" i="1"/>
  <c r="U961" i="1"/>
  <c r="T961" i="1"/>
  <c r="S961" i="1"/>
  <c r="R961" i="1"/>
  <c r="U960" i="1"/>
  <c r="T960" i="1"/>
  <c r="S960" i="1"/>
  <c r="R960" i="1"/>
  <c r="U959" i="1"/>
  <c r="T959" i="1"/>
  <c r="S959" i="1"/>
  <c r="R959" i="1"/>
  <c r="U958" i="1"/>
  <c r="T958" i="1"/>
  <c r="S958" i="1"/>
  <c r="R958" i="1"/>
  <c r="U957" i="1"/>
  <c r="T957" i="1"/>
  <c r="S957" i="1"/>
  <c r="R957" i="1"/>
  <c r="U956" i="1"/>
  <c r="T956" i="1"/>
  <c r="S956" i="1"/>
  <c r="R956" i="1"/>
  <c r="U955" i="1"/>
  <c r="T955" i="1"/>
  <c r="S955" i="1"/>
  <c r="R955" i="1"/>
  <c r="U954" i="1"/>
  <c r="T954" i="1"/>
  <c r="S954" i="1"/>
  <c r="R954" i="1"/>
  <c r="U953" i="1"/>
  <c r="T953" i="1"/>
  <c r="S953" i="1"/>
  <c r="R953" i="1"/>
  <c r="U952" i="1"/>
  <c r="T952" i="1"/>
  <c r="S952" i="1"/>
  <c r="R952" i="1"/>
  <c r="U951" i="1"/>
  <c r="T951" i="1"/>
  <c r="S951" i="1"/>
  <c r="R951" i="1"/>
  <c r="U950" i="1"/>
  <c r="T950" i="1"/>
  <c r="S950" i="1"/>
  <c r="R950" i="1"/>
  <c r="U949" i="1"/>
  <c r="T949" i="1"/>
  <c r="S949" i="1"/>
  <c r="R949" i="1"/>
  <c r="U948" i="1"/>
  <c r="T948" i="1"/>
  <c r="S948" i="1"/>
  <c r="R948" i="1"/>
  <c r="U947" i="1"/>
  <c r="T947" i="1"/>
  <c r="S947" i="1"/>
  <c r="R947" i="1"/>
  <c r="U946" i="1"/>
  <c r="T946" i="1"/>
  <c r="S946" i="1"/>
  <c r="R946" i="1"/>
  <c r="U945" i="1"/>
  <c r="T945" i="1"/>
  <c r="S945" i="1"/>
  <c r="R945" i="1"/>
  <c r="U944" i="1"/>
  <c r="T944" i="1"/>
  <c r="S944" i="1"/>
  <c r="R944" i="1"/>
  <c r="U943" i="1"/>
  <c r="T943" i="1"/>
  <c r="S943" i="1"/>
  <c r="R943" i="1"/>
  <c r="U942" i="1"/>
  <c r="T942" i="1"/>
  <c r="S942" i="1"/>
  <c r="R942" i="1"/>
  <c r="U941" i="1"/>
  <c r="T941" i="1"/>
  <c r="S941" i="1"/>
  <c r="R941" i="1"/>
  <c r="U940" i="1"/>
  <c r="T940" i="1"/>
  <c r="S940" i="1"/>
  <c r="R940" i="1"/>
  <c r="U939" i="1"/>
  <c r="T939" i="1"/>
  <c r="S939" i="1"/>
  <c r="R939" i="1"/>
  <c r="U938" i="1"/>
  <c r="T938" i="1"/>
  <c r="S938" i="1"/>
  <c r="R938" i="1"/>
  <c r="U937" i="1"/>
  <c r="T937" i="1"/>
  <c r="S937" i="1"/>
  <c r="R937" i="1"/>
  <c r="U936" i="1"/>
  <c r="T936" i="1"/>
  <c r="S936" i="1"/>
  <c r="R936" i="1"/>
  <c r="U935" i="1"/>
  <c r="T935" i="1"/>
  <c r="S935" i="1"/>
  <c r="R935" i="1"/>
  <c r="U934" i="1"/>
  <c r="T934" i="1"/>
  <c r="S934" i="1"/>
  <c r="R934" i="1"/>
  <c r="U933" i="1"/>
  <c r="T933" i="1"/>
  <c r="S933" i="1"/>
  <c r="R933" i="1"/>
  <c r="U932" i="1"/>
  <c r="T932" i="1"/>
  <c r="S932" i="1"/>
  <c r="R932" i="1"/>
  <c r="U931" i="1"/>
  <c r="T931" i="1"/>
  <c r="S931" i="1"/>
  <c r="R931" i="1"/>
  <c r="U930" i="1"/>
  <c r="T930" i="1"/>
  <c r="S930" i="1"/>
  <c r="R930" i="1"/>
  <c r="U929" i="1"/>
  <c r="T929" i="1"/>
  <c r="S929" i="1"/>
  <c r="R929" i="1"/>
  <c r="U928" i="1"/>
  <c r="T928" i="1"/>
  <c r="S928" i="1"/>
  <c r="R928" i="1"/>
  <c r="U927" i="1"/>
  <c r="T927" i="1"/>
  <c r="S927" i="1"/>
  <c r="R927" i="1"/>
  <c r="U926" i="1"/>
  <c r="T926" i="1"/>
  <c r="S926" i="1"/>
  <c r="R926" i="1"/>
  <c r="U925" i="1"/>
  <c r="T925" i="1"/>
  <c r="S925" i="1"/>
  <c r="R925" i="1"/>
  <c r="U924" i="1"/>
  <c r="T924" i="1"/>
  <c r="S924" i="1"/>
  <c r="R924" i="1"/>
  <c r="U923" i="1"/>
  <c r="T923" i="1"/>
  <c r="S923" i="1"/>
  <c r="R923" i="1"/>
  <c r="U922" i="1"/>
  <c r="T922" i="1"/>
  <c r="S922" i="1"/>
  <c r="R922" i="1"/>
  <c r="U921" i="1"/>
  <c r="T921" i="1"/>
  <c r="S921" i="1"/>
  <c r="R921" i="1"/>
  <c r="U920" i="1"/>
  <c r="T920" i="1"/>
  <c r="S920" i="1"/>
  <c r="R920" i="1"/>
  <c r="U919" i="1"/>
  <c r="T919" i="1"/>
  <c r="S919" i="1"/>
  <c r="R919" i="1"/>
  <c r="U918" i="1"/>
  <c r="T918" i="1"/>
  <c r="S918" i="1"/>
  <c r="R918" i="1"/>
  <c r="U917" i="1"/>
  <c r="T917" i="1"/>
  <c r="S917" i="1"/>
  <c r="R917" i="1"/>
  <c r="U916" i="1"/>
  <c r="T916" i="1"/>
  <c r="S916" i="1"/>
  <c r="R916" i="1"/>
  <c r="U915" i="1"/>
  <c r="T915" i="1"/>
  <c r="S915" i="1"/>
  <c r="R915" i="1"/>
  <c r="U914" i="1"/>
  <c r="T914" i="1"/>
  <c r="S914" i="1"/>
  <c r="R914" i="1"/>
  <c r="U913" i="1"/>
  <c r="T913" i="1"/>
  <c r="S913" i="1"/>
  <c r="R913" i="1"/>
  <c r="U912" i="1"/>
  <c r="T912" i="1"/>
  <c r="S912" i="1"/>
  <c r="R912" i="1"/>
  <c r="U911" i="1"/>
  <c r="T911" i="1"/>
  <c r="S911" i="1"/>
  <c r="R911" i="1"/>
  <c r="U910" i="1"/>
  <c r="T910" i="1"/>
  <c r="S910" i="1"/>
  <c r="R910" i="1"/>
  <c r="U909" i="1"/>
  <c r="T909" i="1"/>
  <c r="S909" i="1"/>
  <c r="R909" i="1"/>
  <c r="U908" i="1"/>
  <c r="T908" i="1"/>
  <c r="S908" i="1"/>
  <c r="R908" i="1"/>
  <c r="U907" i="1"/>
  <c r="T907" i="1"/>
  <c r="S907" i="1"/>
  <c r="R907" i="1"/>
  <c r="U906" i="1"/>
  <c r="T906" i="1"/>
  <c r="S906" i="1"/>
  <c r="R906" i="1"/>
  <c r="U905" i="1"/>
  <c r="T905" i="1"/>
  <c r="S905" i="1"/>
  <c r="R905" i="1"/>
  <c r="U904" i="1"/>
  <c r="T904" i="1"/>
  <c r="S904" i="1"/>
  <c r="R904" i="1"/>
  <c r="U903" i="1"/>
  <c r="T903" i="1"/>
  <c r="S903" i="1"/>
  <c r="R903" i="1"/>
  <c r="U902" i="1"/>
  <c r="T902" i="1"/>
  <c r="S902" i="1"/>
  <c r="R902" i="1"/>
  <c r="U901" i="1"/>
  <c r="T901" i="1"/>
  <c r="S901" i="1"/>
  <c r="R901" i="1"/>
  <c r="U900" i="1"/>
  <c r="T900" i="1"/>
  <c r="S900" i="1"/>
  <c r="R900" i="1"/>
  <c r="U899" i="1"/>
  <c r="T899" i="1"/>
  <c r="S899" i="1"/>
  <c r="R899" i="1"/>
  <c r="U898" i="1"/>
  <c r="T898" i="1"/>
  <c r="S898" i="1"/>
  <c r="R898" i="1"/>
  <c r="U897" i="1"/>
  <c r="T897" i="1"/>
  <c r="S897" i="1"/>
  <c r="R897" i="1"/>
  <c r="U896" i="1"/>
  <c r="T896" i="1"/>
  <c r="S896" i="1"/>
  <c r="R896" i="1"/>
  <c r="U895" i="1"/>
  <c r="T895" i="1"/>
  <c r="S895" i="1"/>
  <c r="R895" i="1"/>
  <c r="U894" i="1"/>
  <c r="T894" i="1"/>
  <c r="S894" i="1"/>
  <c r="R894" i="1"/>
  <c r="U893" i="1"/>
  <c r="T893" i="1"/>
  <c r="S893" i="1"/>
  <c r="R893" i="1"/>
  <c r="U892" i="1"/>
  <c r="T892" i="1"/>
  <c r="S892" i="1"/>
  <c r="R892" i="1"/>
  <c r="U891" i="1"/>
  <c r="T891" i="1"/>
  <c r="S891" i="1"/>
  <c r="R891" i="1"/>
  <c r="U890" i="1"/>
  <c r="T890" i="1"/>
  <c r="S890" i="1"/>
  <c r="R890" i="1"/>
  <c r="U889" i="1"/>
  <c r="T889" i="1"/>
  <c r="S889" i="1"/>
  <c r="R889" i="1"/>
  <c r="U888" i="1"/>
  <c r="T888" i="1"/>
  <c r="S888" i="1"/>
  <c r="R888" i="1"/>
  <c r="U887" i="1"/>
  <c r="T887" i="1"/>
  <c r="S887" i="1"/>
  <c r="R887" i="1"/>
  <c r="U886" i="1"/>
  <c r="T886" i="1"/>
  <c r="S886" i="1"/>
  <c r="R886" i="1"/>
  <c r="U885" i="1"/>
  <c r="T885" i="1"/>
  <c r="S885" i="1"/>
  <c r="R885" i="1"/>
  <c r="U884" i="1"/>
  <c r="T884" i="1"/>
  <c r="S884" i="1"/>
  <c r="R884" i="1"/>
  <c r="U883" i="1"/>
  <c r="T883" i="1"/>
  <c r="S883" i="1"/>
  <c r="R883" i="1"/>
  <c r="U882" i="1"/>
  <c r="T882" i="1"/>
  <c r="S882" i="1"/>
  <c r="R882" i="1"/>
  <c r="U881" i="1"/>
  <c r="T881" i="1"/>
  <c r="S881" i="1"/>
  <c r="R881" i="1"/>
  <c r="U880" i="1"/>
  <c r="T880" i="1"/>
  <c r="S880" i="1"/>
  <c r="R880" i="1"/>
  <c r="U879" i="1"/>
  <c r="T879" i="1"/>
  <c r="S879" i="1"/>
  <c r="R879" i="1"/>
  <c r="U878" i="1"/>
  <c r="T878" i="1"/>
  <c r="S878" i="1"/>
  <c r="R878" i="1"/>
  <c r="U877" i="1"/>
  <c r="T877" i="1"/>
  <c r="S877" i="1"/>
  <c r="R877" i="1"/>
  <c r="U876" i="1"/>
  <c r="T876" i="1"/>
  <c r="S876" i="1"/>
  <c r="R876" i="1"/>
  <c r="U875" i="1"/>
  <c r="T875" i="1"/>
  <c r="S875" i="1"/>
  <c r="R875" i="1"/>
  <c r="U874" i="1"/>
  <c r="T874" i="1"/>
  <c r="S874" i="1"/>
  <c r="R874" i="1"/>
  <c r="U873" i="1"/>
  <c r="T873" i="1"/>
  <c r="S873" i="1"/>
  <c r="R873" i="1"/>
  <c r="U872" i="1"/>
  <c r="T872" i="1"/>
  <c r="S872" i="1"/>
  <c r="R872" i="1"/>
  <c r="U871" i="1"/>
  <c r="T871" i="1"/>
  <c r="S871" i="1"/>
  <c r="R871" i="1"/>
  <c r="U870" i="1"/>
  <c r="T870" i="1"/>
  <c r="S870" i="1"/>
  <c r="R870" i="1"/>
  <c r="U869" i="1"/>
  <c r="T869" i="1"/>
  <c r="S869" i="1"/>
  <c r="R869" i="1"/>
  <c r="U868" i="1"/>
  <c r="T868" i="1"/>
  <c r="S868" i="1"/>
  <c r="R868" i="1"/>
  <c r="U867" i="1"/>
  <c r="T867" i="1"/>
  <c r="S867" i="1"/>
  <c r="R867" i="1"/>
  <c r="U866" i="1"/>
  <c r="T866" i="1"/>
  <c r="S866" i="1"/>
  <c r="R866" i="1"/>
  <c r="U865" i="1"/>
  <c r="T865" i="1"/>
  <c r="S865" i="1"/>
  <c r="R865" i="1"/>
  <c r="U864" i="1"/>
  <c r="T864" i="1"/>
  <c r="S864" i="1"/>
  <c r="R864" i="1"/>
  <c r="U863" i="1"/>
  <c r="T863" i="1"/>
  <c r="S863" i="1"/>
  <c r="R863" i="1"/>
  <c r="U862" i="1"/>
  <c r="T862" i="1"/>
  <c r="S862" i="1"/>
  <c r="R862" i="1"/>
  <c r="U861" i="1"/>
  <c r="T861" i="1"/>
  <c r="S861" i="1"/>
  <c r="R861" i="1"/>
  <c r="U860" i="1"/>
  <c r="T860" i="1"/>
  <c r="S860" i="1"/>
  <c r="R860" i="1"/>
  <c r="U859" i="1"/>
  <c r="T859" i="1"/>
  <c r="S859" i="1"/>
  <c r="R859" i="1"/>
  <c r="U858" i="1"/>
  <c r="T858" i="1"/>
  <c r="S858" i="1"/>
  <c r="R858" i="1"/>
  <c r="U857" i="1"/>
  <c r="T857" i="1"/>
  <c r="S857" i="1"/>
  <c r="R857" i="1"/>
  <c r="U856" i="1"/>
  <c r="T856" i="1"/>
  <c r="S856" i="1"/>
  <c r="R856" i="1"/>
  <c r="U855" i="1"/>
  <c r="T855" i="1"/>
  <c r="S855" i="1"/>
  <c r="R855" i="1"/>
  <c r="U854" i="1"/>
  <c r="T854" i="1"/>
  <c r="S854" i="1"/>
  <c r="R854" i="1"/>
  <c r="U853" i="1"/>
  <c r="T853" i="1"/>
  <c r="S853" i="1"/>
  <c r="R853" i="1"/>
  <c r="U852" i="1"/>
  <c r="T852" i="1"/>
  <c r="S852" i="1"/>
  <c r="R852" i="1"/>
  <c r="U851" i="1"/>
  <c r="T851" i="1"/>
  <c r="S851" i="1"/>
  <c r="R851" i="1"/>
  <c r="U850" i="1"/>
  <c r="T850" i="1"/>
  <c r="S850" i="1"/>
  <c r="R850" i="1"/>
  <c r="U849" i="1"/>
  <c r="T849" i="1"/>
  <c r="S849" i="1"/>
  <c r="R849" i="1"/>
  <c r="U848" i="1"/>
  <c r="T848" i="1"/>
  <c r="S848" i="1"/>
  <c r="R848" i="1"/>
  <c r="U847" i="1"/>
  <c r="T847" i="1"/>
  <c r="S847" i="1"/>
  <c r="R847" i="1"/>
  <c r="U846" i="1"/>
  <c r="T846" i="1"/>
  <c r="S846" i="1"/>
  <c r="R846" i="1"/>
  <c r="U845" i="1"/>
  <c r="T845" i="1"/>
  <c r="S845" i="1"/>
  <c r="R845" i="1"/>
  <c r="U844" i="1"/>
  <c r="T844" i="1"/>
  <c r="S844" i="1"/>
  <c r="R844" i="1"/>
  <c r="U843" i="1"/>
  <c r="T843" i="1"/>
  <c r="S843" i="1"/>
  <c r="R843" i="1"/>
  <c r="U842" i="1"/>
  <c r="T842" i="1"/>
  <c r="S842" i="1"/>
  <c r="R842" i="1"/>
  <c r="U841" i="1"/>
  <c r="T841" i="1"/>
  <c r="S841" i="1"/>
  <c r="R841" i="1"/>
  <c r="U840" i="1"/>
  <c r="T840" i="1"/>
  <c r="S840" i="1"/>
  <c r="R840" i="1"/>
  <c r="U839" i="1"/>
  <c r="T839" i="1"/>
  <c r="S839" i="1"/>
  <c r="R839" i="1"/>
  <c r="U838" i="1"/>
  <c r="T838" i="1"/>
  <c r="S838" i="1"/>
  <c r="R838" i="1"/>
  <c r="U837" i="1"/>
  <c r="T837" i="1"/>
  <c r="S837" i="1"/>
  <c r="R837" i="1"/>
  <c r="U836" i="1"/>
  <c r="T836" i="1"/>
  <c r="S836" i="1"/>
  <c r="R836" i="1"/>
  <c r="U835" i="1"/>
  <c r="T835" i="1"/>
  <c r="S835" i="1"/>
  <c r="R835" i="1"/>
  <c r="U834" i="1"/>
  <c r="T834" i="1"/>
  <c r="S834" i="1"/>
  <c r="R834" i="1"/>
  <c r="U833" i="1"/>
  <c r="T833" i="1"/>
  <c r="S833" i="1"/>
  <c r="R833" i="1"/>
  <c r="U832" i="1"/>
  <c r="T832" i="1"/>
  <c r="S832" i="1"/>
  <c r="R832" i="1"/>
  <c r="U831" i="1"/>
  <c r="T831" i="1"/>
  <c r="S831" i="1"/>
  <c r="R831" i="1"/>
  <c r="U830" i="1"/>
  <c r="T830" i="1"/>
  <c r="S830" i="1"/>
  <c r="R830" i="1"/>
  <c r="U829" i="1"/>
  <c r="T829" i="1"/>
  <c r="S829" i="1"/>
  <c r="R829" i="1"/>
  <c r="U828" i="1"/>
  <c r="T828" i="1"/>
  <c r="S828" i="1"/>
  <c r="R828" i="1"/>
  <c r="U827" i="1"/>
  <c r="T827" i="1"/>
  <c r="S827" i="1"/>
  <c r="R827" i="1"/>
  <c r="U826" i="1"/>
  <c r="T826" i="1"/>
  <c r="S826" i="1"/>
  <c r="R826" i="1"/>
  <c r="U825" i="1"/>
  <c r="T825" i="1"/>
  <c r="S825" i="1"/>
  <c r="R825" i="1"/>
  <c r="U824" i="1"/>
  <c r="T824" i="1"/>
  <c r="S824" i="1"/>
  <c r="R824" i="1"/>
  <c r="U823" i="1"/>
  <c r="T823" i="1"/>
  <c r="S823" i="1"/>
  <c r="R823" i="1"/>
  <c r="U822" i="1"/>
  <c r="T822" i="1"/>
  <c r="S822" i="1"/>
  <c r="R822" i="1"/>
  <c r="U821" i="1"/>
  <c r="T821" i="1"/>
  <c r="S821" i="1"/>
  <c r="R821" i="1"/>
  <c r="U820" i="1"/>
  <c r="T820" i="1"/>
  <c r="S820" i="1"/>
  <c r="R820" i="1"/>
  <c r="U819" i="1"/>
  <c r="T819" i="1"/>
  <c r="S819" i="1"/>
  <c r="R819" i="1"/>
  <c r="U818" i="1"/>
  <c r="T818" i="1"/>
  <c r="S818" i="1"/>
  <c r="R818" i="1"/>
  <c r="U817" i="1"/>
  <c r="T817" i="1"/>
  <c r="S817" i="1"/>
  <c r="R817" i="1"/>
  <c r="U816" i="1"/>
  <c r="T816" i="1"/>
  <c r="S816" i="1"/>
  <c r="R816" i="1"/>
  <c r="U815" i="1"/>
  <c r="T815" i="1"/>
  <c r="S815" i="1"/>
  <c r="R815" i="1"/>
  <c r="U814" i="1"/>
  <c r="T814" i="1"/>
  <c r="S814" i="1"/>
  <c r="R814" i="1"/>
  <c r="U813" i="1"/>
  <c r="T813" i="1"/>
  <c r="S813" i="1"/>
  <c r="R813" i="1"/>
  <c r="U812" i="1"/>
  <c r="T812" i="1"/>
  <c r="S812" i="1"/>
  <c r="R812" i="1"/>
  <c r="U811" i="1"/>
  <c r="T811" i="1"/>
  <c r="S811" i="1"/>
  <c r="R811" i="1"/>
  <c r="U810" i="1"/>
  <c r="T810" i="1"/>
  <c r="S810" i="1"/>
  <c r="R810" i="1"/>
  <c r="U809" i="1"/>
  <c r="T809" i="1"/>
  <c r="S809" i="1"/>
  <c r="R809" i="1"/>
  <c r="U808" i="1"/>
  <c r="T808" i="1"/>
  <c r="S808" i="1"/>
  <c r="R808" i="1"/>
  <c r="U807" i="1"/>
  <c r="T807" i="1"/>
  <c r="S807" i="1"/>
  <c r="R807" i="1"/>
  <c r="U806" i="1"/>
  <c r="T806" i="1"/>
  <c r="S806" i="1"/>
  <c r="R806" i="1"/>
  <c r="U805" i="1"/>
  <c r="T805" i="1"/>
  <c r="S805" i="1"/>
  <c r="R805" i="1"/>
  <c r="U804" i="1"/>
  <c r="T804" i="1"/>
  <c r="S804" i="1"/>
  <c r="R804" i="1"/>
  <c r="U803" i="1"/>
  <c r="T803" i="1"/>
  <c r="S803" i="1"/>
  <c r="R803" i="1"/>
  <c r="U802" i="1"/>
  <c r="T802" i="1"/>
  <c r="S802" i="1"/>
  <c r="R802" i="1"/>
  <c r="U801" i="1"/>
  <c r="T801" i="1"/>
  <c r="S801" i="1"/>
  <c r="R801" i="1"/>
  <c r="U800" i="1"/>
  <c r="T800" i="1"/>
  <c r="S800" i="1"/>
  <c r="R800" i="1"/>
  <c r="U799" i="1"/>
  <c r="T799" i="1"/>
  <c r="S799" i="1"/>
  <c r="R799" i="1"/>
  <c r="U798" i="1"/>
  <c r="T798" i="1"/>
  <c r="S798" i="1"/>
  <c r="R798" i="1"/>
  <c r="U797" i="1"/>
  <c r="T797" i="1"/>
  <c r="S797" i="1"/>
  <c r="R797" i="1"/>
  <c r="U796" i="1"/>
  <c r="T796" i="1"/>
  <c r="S796" i="1"/>
  <c r="R796" i="1"/>
  <c r="U795" i="1"/>
  <c r="T795" i="1"/>
  <c r="S795" i="1"/>
  <c r="R795" i="1"/>
  <c r="U794" i="1"/>
  <c r="T794" i="1"/>
  <c r="S794" i="1"/>
  <c r="R794" i="1"/>
  <c r="U793" i="1"/>
  <c r="T793" i="1"/>
  <c r="S793" i="1"/>
  <c r="R793" i="1"/>
  <c r="U792" i="1"/>
  <c r="T792" i="1"/>
  <c r="S792" i="1"/>
  <c r="R792" i="1"/>
  <c r="U791" i="1"/>
  <c r="T791" i="1"/>
  <c r="S791" i="1"/>
  <c r="R791" i="1"/>
  <c r="U790" i="1"/>
  <c r="T790" i="1"/>
  <c r="S790" i="1"/>
  <c r="R790" i="1"/>
  <c r="U789" i="1"/>
  <c r="T789" i="1"/>
  <c r="S789" i="1"/>
  <c r="R789" i="1"/>
  <c r="U788" i="1"/>
  <c r="T788" i="1"/>
  <c r="S788" i="1"/>
  <c r="R788" i="1"/>
  <c r="U787" i="1"/>
  <c r="T787" i="1"/>
  <c r="S787" i="1"/>
  <c r="R787" i="1"/>
  <c r="U786" i="1"/>
  <c r="T786" i="1"/>
  <c r="S786" i="1"/>
  <c r="R786" i="1"/>
  <c r="U785" i="1"/>
  <c r="T785" i="1"/>
  <c r="S785" i="1"/>
  <c r="R785" i="1"/>
  <c r="U784" i="1"/>
  <c r="T784" i="1"/>
  <c r="S784" i="1"/>
  <c r="R784" i="1"/>
  <c r="U783" i="1"/>
  <c r="T783" i="1"/>
  <c r="S783" i="1"/>
  <c r="R783" i="1"/>
  <c r="U782" i="1"/>
  <c r="T782" i="1"/>
  <c r="S782" i="1"/>
  <c r="R782" i="1"/>
  <c r="U781" i="1"/>
  <c r="T781" i="1"/>
  <c r="S781" i="1"/>
  <c r="R781" i="1"/>
  <c r="U780" i="1"/>
  <c r="T780" i="1"/>
  <c r="S780" i="1"/>
  <c r="R780" i="1"/>
  <c r="U779" i="1"/>
  <c r="T779" i="1"/>
  <c r="S779" i="1"/>
  <c r="R779" i="1"/>
  <c r="U778" i="1"/>
  <c r="T778" i="1"/>
  <c r="S778" i="1"/>
  <c r="R778" i="1"/>
  <c r="U777" i="1"/>
  <c r="T777" i="1"/>
  <c r="S777" i="1"/>
  <c r="R777" i="1"/>
  <c r="U776" i="1"/>
  <c r="T776" i="1"/>
  <c r="S776" i="1"/>
  <c r="R776" i="1"/>
  <c r="U775" i="1"/>
  <c r="T775" i="1"/>
  <c r="S775" i="1"/>
  <c r="R775" i="1"/>
  <c r="U774" i="1"/>
  <c r="T774" i="1"/>
  <c r="S774" i="1"/>
  <c r="R774" i="1"/>
  <c r="U773" i="1"/>
  <c r="T773" i="1"/>
  <c r="S773" i="1"/>
  <c r="R773" i="1"/>
  <c r="U772" i="1"/>
  <c r="T772" i="1"/>
  <c r="S772" i="1"/>
  <c r="R772" i="1"/>
  <c r="U771" i="1"/>
  <c r="T771" i="1"/>
  <c r="S771" i="1"/>
  <c r="R771" i="1"/>
  <c r="U770" i="1"/>
  <c r="T770" i="1"/>
  <c r="S770" i="1"/>
  <c r="R770" i="1"/>
  <c r="U769" i="1"/>
  <c r="T769" i="1"/>
  <c r="S769" i="1"/>
  <c r="R769" i="1"/>
  <c r="U768" i="1"/>
  <c r="T768" i="1"/>
  <c r="S768" i="1"/>
  <c r="R768" i="1"/>
  <c r="U767" i="1"/>
  <c r="T767" i="1"/>
  <c r="S767" i="1"/>
  <c r="R767" i="1"/>
  <c r="U766" i="1"/>
  <c r="T766" i="1"/>
  <c r="S766" i="1"/>
  <c r="R766" i="1"/>
  <c r="U765" i="1"/>
  <c r="T765" i="1"/>
  <c r="S765" i="1"/>
  <c r="R765" i="1"/>
  <c r="U764" i="1"/>
  <c r="T764" i="1"/>
  <c r="S764" i="1"/>
  <c r="R764" i="1"/>
  <c r="U763" i="1"/>
  <c r="T763" i="1"/>
  <c r="S763" i="1"/>
  <c r="R763" i="1"/>
  <c r="U762" i="1"/>
  <c r="T762" i="1"/>
  <c r="S762" i="1"/>
  <c r="R762" i="1"/>
  <c r="U761" i="1"/>
  <c r="T761" i="1"/>
  <c r="S761" i="1"/>
  <c r="R761" i="1"/>
  <c r="U760" i="1"/>
  <c r="T760" i="1"/>
  <c r="S760" i="1"/>
  <c r="R760" i="1"/>
  <c r="U759" i="1"/>
  <c r="T759" i="1"/>
  <c r="S759" i="1"/>
  <c r="R759" i="1"/>
  <c r="U758" i="1"/>
  <c r="T758" i="1"/>
  <c r="S758" i="1"/>
  <c r="R758" i="1"/>
  <c r="U757" i="1"/>
  <c r="T757" i="1"/>
  <c r="S757" i="1"/>
  <c r="R757" i="1"/>
  <c r="U756" i="1"/>
  <c r="T756" i="1"/>
  <c r="S756" i="1"/>
  <c r="R756" i="1"/>
  <c r="U755" i="1"/>
  <c r="T755" i="1"/>
  <c r="S755" i="1"/>
  <c r="R755" i="1"/>
  <c r="U754" i="1"/>
  <c r="T754" i="1"/>
  <c r="S754" i="1"/>
  <c r="R754" i="1"/>
  <c r="U753" i="1"/>
  <c r="T753" i="1"/>
  <c r="S753" i="1"/>
  <c r="R753" i="1"/>
  <c r="U752" i="1"/>
  <c r="T752" i="1"/>
  <c r="S752" i="1"/>
  <c r="R752" i="1"/>
  <c r="U751" i="1"/>
  <c r="T751" i="1"/>
  <c r="S751" i="1"/>
  <c r="R751" i="1"/>
  <c r="U750" i="1"/>
  <c r="T750" i="1"/>
  <c r="S750" i="1"/>
  <c r="R750" i="1"/>
  <c r="U749" i="1"/>
  <c r="T749" i="1"/>
  <c r="S749" i="1"/>
  <c r="R749" i="1"/>
  <c r="U748" i="1"/>
  <c r="T748" i="1"/>
  <c r="S748" i="1"/>
  <c r="R748" i="1"/>
  <c r="U747" i="1"/>
  <c r="T747" i="1"/>
  <c r="S747" i="1"/>
  <c r="R747" i="1"/>
  <c r="U746" i="1"/>
  <c r="T746" i="1"/>
  <c r="S746" i="1"/>
  <c r="R746" i="1"/>
  <c r="U745" i="1"/>
  <c r="T745" i="1"/>
  <c r="S745" i="1"/>
  <c r="R745" i="1"/>
  <c r="U744" i="1"/>
  <c r="T744" i="1"/>
  <c r="S744" i="1"/>
  <c r="R744" i="1"/>
  <c r="U743" i="1"/>
  <c r="T743" i="1"/>
  <c r="S743" i="1"/>
  <c r="R743" i="1"/>
  <c r="U742" i="1"/>
  <c r="T742" i="1"/>
  <c r="S742" i="1"/>
  <c r="R742" i="1"/>
  <c r="U741" i="1"/>
  <c r="T741" i="1"/>
  <c r="S741" i="1"/>
  <c r="R741" i="1"/>
  <c r="U740" i="1"/>
  <c r="T740" i="1"/>
  <c r="S740" i="1"/>
  <c r="R740" i="1"/>
  <c r="U739" i="1"/>
  <c r="T739" i="1"/>
  <c r="S739" i="1"/>
  <c r="R739" i="1"/>
  <c r="U738" i="1"/>
  <c r="T738" i="1"/>
  <c r="S738" i="1"/>
  <c r="R738" i="1"/>
  <c r="U737" i="1"/>
  <c r="T737" i="1"/>
  <c r="S737" i="1"/>
  <c r="R737" i="1"/>
  <c r="U736" i="1"/>
  <c r="T736" i="1"/>
  <c r="S736" i="1"/>
  <c r="R736" i="1"/>
  <c r="U735" i="1"/>
  <c r="T735" i="1"/>
  <c r="S735" i="1"/>
  <c r="R735" i="1"/>
  <c r="U734" i="1"/>
  <c r="T734" i="1"/>
  <c r="S734" i="1"/>
  <c r="R734" i="1"/>
  <c r="U733" i="1"/>
  <c r="T733" i="1"/>
  <c r="S733" i="1"/>
  <c r="R733" i="1"/>
  <c r="U732" i="1"/>
  <c r="T732" i="1"/>
  <c r="S732" i="1"/>
  <c r="R732" i="1"/>
  <c r="U731" i="1"/>
  <c r="T731" i="1"/>
  <c r="S731" i="1"/>
  <c r="R731" i="1"/>
  <c r="U730" i="1"/>
  <c r="T730" i="1"/>
  <c r="S730" i="1"/>
  <c r="R730" i="1"/>
  <c r="U729" i="1"/>
  <c r="T729" i="1"/>
  <c r="S729" i="1"/>
  <c r="R729" i="1"/>
  <c r="U728" i="1"/>
  <c r="T728" i="1"/>
  <c r="S728" i="1"/>
  <c r="R728" i="1"/>
  <c r="U727" i="1"/>
  <c r="T727" i="1"/>
  <c r="S727" i="1"/>
  <c r="R727" i="1"/>
  <c r="U726" i="1"/>
  <c r="T726" i="1"/>
  <c r="S726" i="1"/>
  <c r="R726" i="1"/>
  <c r="U725" i="1"/>
  <c r="T725" i="1"/>
  <c r="S725" i="1"/>
  <c r="R725" i="1"/>
  <c r="U724" i="1"/>
  <c r="T724" i="1"/>
  <c r="S724" i="1"/>
  <c r="R724" i="1"/>
  <c r="U723" i="1"/>
  <c r="T723" i="1"/>
  <c r="S723" i="1"/>
  <c r="R723" i="1"/>
  <c r="U722" i="1"/>
  <c r="T722" i="1"/>
  <c r="S722" i="1"/>
  <c r="R722" i="1"/>
  <c r="U721" i="1"/>
  <c r="T721" i="1"/>
  <c r="S721" i="1"/>
  <c r="R721" i="1"/>
  <c r="U720" i="1"/>
  <c r="T720" i="1"/>
  <c r="S720" i="1"/>
  <c r="R720" i="1"/>
  <c r="U719" i="1"/>
  <c r="T719" i="1"/>
  <c r="S719" i="1"/>
  <c r="R719" i="1"/>
  <c r="U718" i="1"/>
  <c r="T718" i="1"/>
  <c r="S718" i="1"/>
  <c r="R718" i="1"/>
  <c r="U717" i="1"/>
  <c r="T717" i="1"/>
  <c r="S717" i="1"/>
  <c r="R717" i="1"/>
  <c r="U716" i="1"/>
  <c r="T716" i="1"/>
  <c r="S716" i="1"/>
  <c r="R716" i="1"/>
  <c r="U715" i="1"/>
  <c r="T715" i="1"/>
  <c r="S715" i="1"/>
  <c r="R715" i="1"/>
  <c r="U714" i="1"/>
  <c r="T714" i="1"/>
  <c r="S714" i="1"/>
  <c r="R714" i="1"/>
  <c r="U713" i="1"/>
  <c r="T713" i="1"/>
  <c r="S713" i="1"/>
  <c r="R713" i="1"/>
  <c r="U712" i="1"/>
  <c r="T712" i="1"/>
  <c r="S712" i="1"/>
  <c r="R712" i="1"/>
  <c r="U711" i="1"/>
  <c r="T711" i="1"/>
  <c r="S711" i="1"/>
  <c r="R711" i="1"/>
  <c r="U710" i="1"/>
  <c r="T710" i="1"/>
  <c r="S710" i="1"/>
  <c r="R710" i="1"/>
  <c r="U709" i="1"/>
  <c r="T709" i="1"/>
  <c r="S709" i="1"/>
  <c r="R709" i="1"/>
  <c r="U708" i="1"/>
  <c r="T708" i="1"/>
  <c r="S708" i="1"/>
  <c r="R708" i="1"/>
  <c r="U707" i="1"/>
  <c r="T707" i="1"/>
  <c r="S707" i="1"/>
  <c r="R707" i="1"/>
  <c r="U706" i="1"/>
  <c r="T706" i="1"/>
  <c r="S706" i="1"/>
  <c r="R706" i="1"/>
  <c r="U705" i="1"/>
  <c r="T705" i="1"/>
  <c r="S705" i="1"/>
  <c r="R705" i="1"/>
  <c r="U704" i="1"/>
  <c r="T704" i="1"/>
  <c r="S704" i="1"/>
  <c r="R704" i="1"/>
  <c r="U703" i="1"/>
  <c r="T703" i="1"/>
  <c r="S703" i="1"/>
  <c r="R703" i="1"/>
  <c r="U702" i="1"/>
  <c r="T702" i="1"/>
  <c r="S702" i="1"/>
  <c r="R702" i="1"/>
  <c r="U701" i="1"/>
  <c r="T701" i="1"/>
  <c r="S701" i="1"/>
  <c r="R701" i="1"/>
  <c r="U700" i="1"/>
  <c r="T700" i="1"/>
  <c r="S700" i="1"/>
  <c r="R700" i="1"/>
  <c r="U699" i="1"/>
  <c r="T699" i="1"/>
  <c r="S699" i="1"/>
  <c r="R699" i="1"/>
  <c r="U698" i="1"/>
  <c r="T698" i="1"/>
  <c r="S698" i="1"/>
  <c r="R698" i="1"/>
  <c r="U697" i="1"/>
  <c r="T697" i="1"/>
  <c r="S697" i="1"/>
  <c r="R697" i="1"/>
  <c r="U696" i="1"/>
  <c r="T696" i="1"/>
  <c r="S696" i="1"/>
  <c r="R696" i="1"/>
  <c r="U695" i="1"/>
  <c r="T695" i="1"/>
  <c r="S695" i="1"/>
  <c r="R695" i="1"/>
  <c r="U694" i="1"/>
  <c r="T694" i="1"/>
  <c r="S694" i="1"/>
  <c r="R694" i="1"/>
  <c r="U693" i="1"/>
  <c r="T693" i="1"/>
  <c r="S693" i="1"/>
  <c r="R693" i="1"/>
  <c r="U692" i="1"/>
  <c r="T692" i="1"/>
  <c r="S692" i="1"/>
  <c r="R692" i="1"/>
  <c r="U691" i="1"/>
  <c r="T691" i="1"/>
  <c r="S691" i="1"/>
  <c r="R691" i="1"/>
  <c r="U690" i="1"/>
  <c r="T690" i="1"/>
  <c r="S690" i="1"/>
  <c r="R690" i="1"/>
  <c r="U689" i="1"/>
  <c r="T689" i="1"/>
  <c r="S689" i="1"/>
  <c r="R689" i="1"/>
  <c r="U688" i="1"/>
  <c r="T688" i="1"/>
  <c r="S688" i="1"/>
  <c r="R688" i="1"/>
  <c r="U687" i="1"/>
  <c r="T687" i="1"/>
  <c r="S687" i="1"/>
  <c r="R687" i="1"/>
  <c r="U686" i="1"/>
  <c r="T686" i="1"/>
  <c r="S686" i="1"/>
  <c r="R686" i="1"/>
  <c r="U685" i="1"/>
  <c r="T685" i="1"/>
  <c r="S685" i="1"/>
  <c r="R685" i="1"/>
  <c r="U684" i="1"/>
  <c r="T684" i="1"/>
  <c r="S684" i="1"/>
  <c r="R684" i="1"/>
  <c r="U683" i="1"/>
  <c r="T683" i="1"/>
  <c r="S683" i="1"/>
  <c r="R683" i="1"/>
  <c r="U682" i="1"/>
  <c r="T682" i="1"/>
  <c r="S682" i="1"/>
  <c r="R682" i="1"/>
  <c r="U681" i="1"/>
  <c r="T681" i="1"/>
  <c r="S681" i="1"/>
  <c r="R681" i="1"/>
  <c r="U680" i="1"/>
  <c r="T680" i="1"/>
  <c r="S680" i="1"/>
  <c r="R680" i="1"/>
  <c r="U679" i="1"/>
  <c r="T679" i="1"/>
  <c r="S679" i="1"/>
  <c r="R679" i="1"/>
  <c r="U678" i="1"/>
  <c r="T678" i="1"/>
  <c r="S678" i="1"/>
  <c r="R678" i="1"/>
  <c r="U677" i="1"/>
  <c r="T677" i="1"/>
  <c r="S677" i="1"/>
  <c r="R677" i="1"/>
  <c r="U676" i="1"/>
  <c r="T676" i="1"/>
  <c r="S676" i="1"/>
  <c r="R676" i="1"/>
  <c r="U675" i="1"/>
  <c r="T675" i="1"/>
  <c r="S675" i="1"/>
  <c r="R675" i="1"/>
  <c r="U674" i="1"/>
  <c r="T674" i="1"/>
  <c r="S674" i="1"/>
  <c r="R674" i="1"/>
  <c r="U673" i="1"/>
  <c r="T673" i="1"/>
  <c r="S673" i="1"/>
  <c r="R673" i="1"/>
  <c r="U672" i="1"/>
  <c r="T672" i="1"/>
  <c r="S672" i="1"/>
  <c r="R672" i="1"/>
  <c r="U671" i="1"/>
  <c r="T671" i="1"/>
  <c r="S671" i="1"/>
  <c r="R671" i="1"/>
  <c r="U670" i="1"/>
  <c r="T670" i="1"/>
  <c r="S670" i="1"/>
  <c r="R670" i="1"/>
  <c r="U669" i="1"/>
  <c r="T669" i="1"/>
  <c r="S669" i="1"/>
  <c r="R669" i="1"/>
  <c r="U668" i="1"/>
  <c r="T668" i="1"/>
  <c r="S668" i="1"/>
  <c r="R668" i="1"/>
  <c r="U667" i="1"/>
  <c r="T667" i="1"/>
  <c r="S667" i="1"/>
  <c r="R667" i="1"/>
  <c r="U666" i="1"/>
  <c r="T666" i="1"/>
  <c r="S666" i="1"/>
  <c r="R666" i="1"/>
  <c r="U665" i="1"/>
  <c r="T665" i="1"/>
  <c r="S665" i="1"/>
  <c r="R665" i="1"/>
  <c r="U664" i="1"/>
  <c r="T664" i="1"/>
  <c r="S664" i="1"/>
  <c r="R664" i="1"/>
  <c r="U663" i="1"/>
  <c r="T663" i="1"/>
  <c r="S663" i="1"/>
  <c r="R663" i="1"/>
  <c r="U662" i="1"/>
  <c r="T662" i="1"/>
  <c r="S662" i="1"/>
  <c r="R662" i="1"/>
  <c r="U661" i="1"/>
  <c r="T661" i="1"/>
  <c r="S661" i="1"/>
  <c r="R661" i="1"/>
  <c r="U660" i="1"/>
  <c r="T660" i="1"/>
  <c r="S660" i="1"/>
  <c r="R660" i="1"/>
  <c r="U659" i="1"/>
  <c r="T659" i="1"/>
  <c r="S659" i="1"/>
  <c r="R659" i="1"/>
  <c r="U658" i="1"/>
  <c r="T658" i="1"/>
  <c r="S658" i="1"/>
  <c r="R658" i="1"/>
  <c r="U657" i="1"/>
  <c r="T657" i="1"/>
  <c r="S657" i="1"/>
  <c r="R657" i="1"/>
  <c r="U656" i="1"/>
  <c r="T656" i="1"/>
  <c r="S656" i="1"/>
  <c r="R656" i="1"/>
  <c r="U655" i="1"/>
  <c r="T655" i="1"/>
  <c r="S655" i="1"/>
  <c r="R655" i="1"/>
  <c r="U654" i="1"/>
  <c r="T654" i="1"/>
  <c r="S654" i="1"/>
  <c r="R654" i="1"/>
  <c r="U653" i="1"/>
  <c r="T653" i="1"/>
  <c r="S653" i="1"/>
  <c r="R653" i="1"/>
  <c r="U652" i="1"/>
  <c r="T652" i="1"/>
  <c r="S652" i="1"/>
  <c r="R652" i="1"/>
  <c r="U651" i="1"/>
  <c r="T651" i="1"/>
  <c r="S651" i="1"/>
  <c r="R651" i="1"/>
  <c r="U650" i="1"/>
  <c r="T650" i="1"/>
  <c r="S650" i="1"/>
  <c r="R650" i="1"/>
  <c r="U649" i="1"/>
  <c r="T649" i="1"/>
  <c r="S649" i="1"/>
  <c r="R649" i="1"/>
  <c r="U648" i="1"/>
  <c r="T648" i="1"/>
  <c r="S648" i="1"/>
  <c r="R648" i="1"/>
  <c r="U647" i="1"/>
  <c r="T647" i="1"/>
  <c r="S647" i="1"/>
  <c r="R647" i="1"/>
  <c r="U646" i="1"/>
  <c r="T646" i="1"/>
  <c r="S646" i="1"/>
  <c r="R646" i="1"/>
  <c r="U645" i="1"/>
  <c r="T645" i="1"/>
  <c r="S645" i="1"/>
  <c r="R645" i="1"/>
  <c r="U644" i="1"/>
  <c r="T644" i="1"/>
  <c r="S644" i="1"/>
  <c r="R644" i="1"/>
  <c r="U643" i="1"/>
  <c r="T643" i="1"/>
  <c r="S643" i="1"/>
  <c r="R643" i="1"/>
  <c r="U642" i="1"/>
  <c r="T642" i="1"/>
  <c r="S642" i="1"/>
  <c r="R642" i="1"/>
  <c r="U641" i="1"/>
  <c r="T641" i="1"/>
  <c r="S641" i="1"/>
  <c r="R641" i="1"/>
  <c r="U640" i="1"/>
  <c r="T640" i="1"/>
  <c r="S640" i="1"/>
  <c r="R640" i="1"/>
  <c r="U639" i="1"/>
  <c r="T639" i="1"/>
  <c r="S639" i="1"/>
  <c r="R639" i="1"/>
  <c r="U638" i="1"/>
  <c r="T638" i="1"/>
  <c r="S638" i="1"/>
  <c r="R638" i="1"/>
  <c r="U637" i="1"/>
  <c r="T637" i="1"/>
  <c r="S637" i="1"/>
  <c r="R637" i="1"/>
  <c r="U636" i="1"/>
  <c r="T636" i="1"/>
  <c r="S636" i="1"/>
  <c r="R636" i="1"/>
  <c r="U635" i="1"/>
  <c r="T635" i="1"/>
  <c r="S635" i="1"/>
  <c r="R635" i="1"/>
  <c r="U634" i="1"/>
  <c r="T634" i="1"/>
  <c r="S634" i="1"/>
  <c r="R634" i="1"/>
  <c r="U633" i="1"/>
  <c r="T633" i="1"/>
  <c r="S633" i="1"/>
  <c r="R633" i="1"/>
  <c r="U632" i="1"/>
  <c r="T632" i="1"/>
  <c r="S632" i="1"/>
  <c r="R632" i="1"/>
  <c r="U631" i="1"/>
  <c r="T631" i="1"/>
  <c r="S631" i="1"/>
  <c r="R631" i="1"/>
  <c r="U630" i="1"/>
  <c r="T630" i="1"/>
  <c r="S630" i="1"/>
  <c r="R630" i="1"/>
  <c r="U629" i="1"/>
  <c r="T629" i="1"/>
  <c r="S629" i="1"/>
  <c r="R629" i="1"/>
  <c r="U628" i="1"/>
  <c r="T628" i="1"/>
  <c r="S628" i="1"/>
  <c r="R628" i="1"/>
  <c r="U627" i="1"/>
  <c r="T627" i="1"/>
  <c r="S627" i="1"/>
  <c r="R627" i="1"/>
  <c r="U626" i="1"/>
  <c r="T626" i="1"/>
  <c r="S626" i="1"/>
  <c r="R626" i="1"/>
  <c r="U625" i="1"/>
  <c r="T625" i="1"/>
  <c r="S625" i="1"/>
  <c r="R625" i="1"/>
  <c r="U624" i="1"/>
  <c r="T624" i="1"/>
  <c r="S624" i="1"/>
  <c r="R624" i="1"/>
  <c r="U623" i="1"/>
  <c r="T623" i="1"/>
  <c r="S623" i="1"/>
  <c r="R623" i="1"/>
  <c r="U622" i="1"/>
  <c r="T622" i="1"/>
  <c r="S622" i="1"/>
  <c r="R622" i="1"/>
  <c r="U621" i="1"/>
  <c r="T621" i="1"/>
  <c r="S621" i="1"/>
  <c r="R621" i="1"/>
  <c r="U620" i="1"/>
  <c r="T620" i="1"/>
  <c r="S620" i="1"/>
  <c r="R620" i="1"/>
  <c r="U619" i="1"/>
  <c r="T619" i="1"/>
  <c r="S619" i="1"/>
  <c r="R619" i="1"/>
  <c r="U618" i="1"/>
  <c r="T618" i="1"/>
  <c r="S618" i="1"/>
  <c r="R618" i="1"/>
  <c r="U617" i="1"/>
  <c r="T617" i="1"/>
  <c r="S617" i="1"/>
  <c r="R617" i="1"/>
  <c r="U616" i="1"/>
  <c r="T616" i="1"/>
  <c r="S616" i="1"/>
  <c r="R616" i="1"/>
  <c r="U615" i="1"/>
  <c r="T615" i="1"/>
  <c r="S615" i="1"/>
  <c r="R615" i="1"/>
  <c r="U614" i="1"/>
  <c r="T614" i="1"/>
  <c r="S614" i="1"/>
  <c r="R614" i="1"/>
  <c r="U613" i="1"/>
  <c r="T613" i="1"/>
  <c r="S613" i="1"/>
  <c r="R613" i="1"/>
  <c r="U612" i="1"/>
  <c r="T612" i="1"/>
  <c r="S612" i="1"/>
  <c r="R612" i="1"/>
  <c r="U611" i="1"/>
  <c r="T611" i="1"/>
  <c r="S611" i="1"/>
  <c r="R611" i="1"/>
  <c r="U610" i="1"/>
  <c r="T610" i="1"/>
  <c r="S610" i="1"/>
  <c r="R610" i="1"/>
  <c r="U609" i="1"/>
  <c r="T609" i="1"/>
  <c r="S609" i="1"/>
  <c r="R609" i="1"/>
  <c r="U608" i="1"/>
  <c r="T608" i="1"/>
  <c r="S608" i="1"/>
  <c r="R608" i="1"/>
  <c r="U607" i="1"/>
  <c r="T607" i="1"/>
  <c r="S607" i="1"/>
  <c r="R607" i="1"/>
  <c r="U606" i="1"/>
  <c r="T606" i="1"/>
  <c r="S606" i="1"/>
  <c r="R606" i="1"/>
  <c r="U605" i="1"/>
  <c r="T605" i="1"/>
  <c r="S605" i="1"/>
  <c r="R605" i="1"/>
  <c r="U604" i="1"/>
  <c r="T604" i="1"/>
  <c r="S604" i="1"/>
  <c r="R604" i="1"/>
  <c r="U603" i="1"/>
  <c r="T603" i="1"/>
  <c r="S603" i="1"/>
  <c r="R603" i="1"/>
  <c r="U602" i="1"/>
  <c r="T602" i="1"/>
  <c r="S602" i="1"/>
  <c r="R602" i="1"/>
  <c r="U601" i="1"/>
  <c r="T601" i="1"/>
  <c r="S601" i="1"/>
  <c r="R601" i="1"/>
  <c r="U600" i="1"/>
  <c r="T600" i="1"/>
  <c r="S600" i="1"/>
  <c r="R600" i="1"/>
  <c r="U599" i="1"/>
  <c r="T599" i="1"/>
  <c r="S599" i="1"/>
  <c r="R599" i="1"/>
  <c r="U598" i="1"/>
  <c r="T598" i="1"/>
  <c r="S598" i="1"/>
  <c r="R598" i="1"/>
  <c r="U597" i="1"/>
  <c r="T597" i="1"/>
  <c r="S597" i="1"/>
  <c r="R597" i="1"/>
  <c r="U596" i="1"/>
  <c r="T596" i="1"/>
  <c r="S596" i="1"/>
  <c r="R596" i="1"/>
  <c r="U595" i="1"/>
  <c r="T595" i="1"/>
  <c r="S595" i="1"/>
  <c r="R595" i="1"/>
  <c r="U594" i="1"/>
  <c r="T594" i="1"/>
  <c r="S594" i="1"/>
  <c r="R594" i="1"/>
  <c r="U593" i="1"/>
  <c r="T593" i="1"/>
  <c r="S593" i="1"/>
  <c r="R593" i="1"/>
  <c r="U592" i="1"/>
  <c r="T592" i="1"/>
  <c r="S592" i="1"/>
  <c r="R592" i="1"/>
  <c r="U591" i="1"/>
  <c r="T591" i="1"/>
  <c r="S591" i="1"/>
  <c r="R591" i="1"/>
  <c r="U590" i="1"/>
  <c r="T590" i="1"/>
  <c r="S590" i="1"/>
  <c r="R590" i="1"/>
  <c r="U589" i="1"/>
  <c r="T589" i="1"/>
  <c r="S589" i="1"/>
  <c r="R589" i="1"/>
  <c r="U588" i="1"/>
  <c r="T588" i="1"/>
  <c r="S588" i="1"/>
  <c r="R588" i="1"/>
  <c r="U587" i="1"/>
  <c r="T587" i="1"/>
  <c r="S587" i="1"/>
  <c r="R587" i="1"/>
  <c r="U586" i="1"/>
  <c r="T586" i="1"/>
  <c r="S586" i="1"/>
  <c r="R586" i="1"/>
  <c r="U585" i="1"/>
  <c r="T585" i="1"/>
  <c r="S585" i="1"/>
  <c r="R585" i="1"/>
  <c r="U584" i="1"/>
  <c r="T584" i="1"/>
  <c r="S584" i="1"/>
  <c r="R584" i="1"/>
  <c r="U583" i="1"/>
  <c r="T583" i="1"/>
  <c r="S583" i="1"/>
  <c r="R583" i="1"/>
  <c r="U582" i="1"/>
  <c r="T582" i="1"/>
  <c r="S582" i="1"/>
  <c r="R582" i="1"/>
  <c r="U581" i="1"/>
  <c r="T581" i="1"/>
  <c r="S581" i="1"/>
  <c r="R581" i="1"/>
  <c r="U580" i="1"/>
  <c r="T580" i="1"/>
  <c r="S580" i="1"/>
  <c r="R580" i="1"/>
  <c r="U579" i="1"/>
  <c r="T579" i="1"/>
  <c r="S579" i="1"/>
  <c r="R579" i="1"/>
  <c r="U578" i="1"/>
  <c r="T578" i="1"/>
  <c r="S578" i="1"/>
  <c r="R578" i="1"/>
  <c r="U577" i="1"/>
  <c r="T577" i="1"/>
  <c r="S577" i="1"/>
  <c r="R577" i="1"/>
  <c r="U576" i="1"/>
  <c r="T576" i="1"/>
  <c r="S576" i="1"/>
  <c r="R576" i="1"/>
  <c r="U575" i="1"/>
  <c r="T575" i="1"/>
  <c r="S575" i="1"/>
  <c r="R575" i="1"/>
  <c r="U574" i="1"/>
  <c r="T574" i="1"/>
  <c r="S574" i="1"/>
  <c r="R574" i="1"/>
  <c r="U573" i="1"/>
  <c r="T573" i="1"/>
  <c r="S573" i="1"/>
  <c r="R573" i="1"/>
  <c r="U572" i="1"/>
  <c r="T572" i="1"/>
  <c r="S572" i="1"/>
  <c r="R572" i="1"/>
  <c r="U571" i="1"/>
  <c r="T571" i="1"/>
  <c r="S571" i="1"/>
  <c r="R571" i="1"/>
  <c r="U570" i="1"/>
  <c r="T570" i="1"/>
  <c r="S570" i="1"/>
  <c r="R570" i="1"/>
  <c r="U569" i="1"/>
  <c r="T569" i="1"/>
  <c r="S569" i="1"/>
  <c r="R569" i="1"/>
  <c r="U568" i="1"/>
  <c r="T568" i="1"/>
  <c r="S568" i="1"/>
  <c r="R568" i="1"/>
  <c r="U567" i="1"/>
  <c r="T567" i="1"/>
  <c r="S567" i="1"/>
  <c r="R567" i="1"/>
  <c r="U566" i="1"/>
  <c r="T566" i="1"/>
  <c r="S566" i="1"/>
  <c r="R566" i="1"/>
  <c r="U565" i="1"/>
  <c r="T565" i="1"/>
  <c r="S565" i="1"/>
  <c r="R565" i="1"/>
  <c r="U564" i="1"/>
  <c r="T564" i="1"/>
  <c r="S564" i="1"/>
  <c r="R564" i="1"/>
  <c r="U563" i="1"/>
  <c r="T563" i="1"/>
  <c r="S563" i="1"/>
  <c r="R563" i="1"/>
  <c r="U562" i="1"/>
  <c r="T562" i="1"/>
  <c r="S562" i="1"/>
  <c r="R562" i="1"/>
  <c r="U561" i="1"/>
  <c r="T561" i="1"/>
  <c r="S561" i="1"/>
  <c r="R561" i="1"/>
  <c r="U560" i="1"/>
  <c r="T560" i="1"/>
  <c r="S560" i="1"/>
  <c r="R560" i="1"/>
  <c r="U559" i="1"/>
  <c r="T559" i="1"/>
  <c r="S559" i="1"/>
  <c r="R559" i="1"/>
  <c r="U558" i="1"/>
  <c r="T558" i="1"/>
  <c r="S558" i="1"/>
  <c r="R558" i="1"/>
  <c r="U557" i="1"/>
  <c r="T557" i="1"/>
  <c r="S557" i="1"/>
  <c r="R557" i="1"/>
  <c r="U556" i="1"/>
  <c r="T556" i="1"/>
  <c r="S556" i="1"/>
  <c r="R556" i="1"/>
  <c r="U555" i="1"/>
  <c r="T555" i="1"/>
  <c r="S555" i="1"/>
  <c r="R555" i="1"/>
  <c r="U554" i="1"/>
  <c r="T554" i="1"/>
  <c r="S554" i="1"/>
  <c r="R554" i="1"/>
  <c r="U553" i="1"/>
  <c r="T553" i="1"/>
  <c r="S553" i="1"/>
  <c r="R553" i="1"/>
  <c r="U552" i="1"/>
  <c r="T552" i="1"/>
  <c r="S552" i="1"/>
  <c r="R552" i="1"/>
  <c r="U551" i="1"/>
  <c r="T551" i="1"/>
  <c r="S551" i="1"/>
  <c r="R551" i="1"/>
  <c r="U550" i="1"/>
  <c r="T550" i="1"/>
  <c r="S550" i="1"/>
  <c r="R550" i="1"/>
  <c r="U549" i="1"/>
  <c r="T549" i="1"/>
  <c r="S549" i="1"/>
  <c r="R549" i="1"/>
  <c r="U548" i="1"/>
  <c r="T548" i="1"/>
  <c r="S548" i="1"/>
  <c r="R548" i="1"/>
  <c r="U547" i="1"/>
  <c r="T547" i="1"/>
  <c r="S547" i="1"/>
  <c r="R547" i="1"/>
  <c r="U546" i="1"/>
  <c r="T546" i="1"/>
  <c r="S546" i="1"/>
  <c r="R546" i="1"/>
  <c r="U545" i="1"/>
  <c r="T545" i="1"/>
  <c r="S545" i="1"/>
  <c r="R545" i="1"/>
  <c r="U544" i="1"/>
  <c r="T544" i="1"/>
  <c r="S544" i="1"/>
  <c r="R544" i="1"/>
  <c r="U543" i="1"/>
  <c r="T543" i="1"/>
  <c r="S543" i="1"/>
  <c r="R543" i="1"/>
  <c r="U542" i="1"/>
  <c r="T542" i="1"/>
  <c r="S542" i="1"/>
  <c r="R542" i="1"/>
  <c r="U541" i="1"/>
  <c r="T541" i="1"/>
  <c r="S541" i="1"/>
  <c r="R541" i="1"/>
  <c r="U540" i="1"/>
  <c r="T540" i="1"/>
  <c r="S540" i="1"/>
  <c r="R540" i="1"/>
  <c r="U539" i="1"/>
  <c r="T539" i="1"/>
  <c r="S539" i="1"/>
  <c r="R539" i="1"/>
  <c r="U538" i="1"/>
  <c r="T538" i="1"/>
  <c r="S538" i="1"/>
  <c r="R538" i="1"/>
  <c r="U537" i="1"/>
  <c r="T537" i="1"/>
  <c r="S537" i="1"/>
  <c r="R537" i="1"/>
  <c r="U536" i="1"/>
  <c r="T536" i="1"/>
  <c r="S536" i="1"/>
  <c r="R536" i="1"/>
  <c r="U535" i="1"/>
  <c r="T535" i="1"/>
  <c r="S535" i="1"/>
  <c r="R535" i="1"/>
  <c r="U534" i="1"/>
  <c r="T534" i="1"/>
  <c r="S534" i="1"/>
  <c r="R534" i="1"/>
  <c r="U533" i="1"/>
  <c r="T533" i="1"/>
  <c r="S533" i="1"/>
  <c r="R533" i="1"/>
  <c r="U532" i="1"/>
  <c r="T532" i="1"/>
  <c r="S532" i="1"/>
  <c r="R532" i="1"/>
  <c r="U531" i="1"/>
  <c r="T531" i="1"/>
  <c r="S531" i="1"/>
  <c r="R531" i="1"/>
  <c r="U530" i="1"/>
  <c r="T530" i="1"/>
  <c r="S530" i="1"/>
  <c r="R530" i="1"/>
  <c r="U529" i="1"/>
  <c r="T529" i="1"/>
  <c r="S529" i="1"/>
  <c r="R529" i="1"/>
  <c r="U528" i="1"/>
  <c r="T528" i="1"/>
  <c r="S528" i="1"/>
  <c r="R528" i="1"/>
  <c r="U527" i="1"/>
  <c r="T527" i="1"/>
  <c r="S527" i="1"/>
  <c r="R527" i="1"/>
  <c r="U526" i="1"/>
  <c r="T526" i="1"/>
  <c r="S526" i="1"/>
  <c r="R526" i="1"/>
  <c r="U525" i="1"/>
  <c r="T525" i="1"/>
  <c r="S525" i="1"/>
  <c r="R525" i="1"/>
  <c r="U524" i="1"/>
  <c r="T524" i="1"/>
  <c r="S524" i="1"/>
  <c r="R524" i="1"/>
  <c r="U523" i="1"/>
  <c r="T523" i="1"/>
  <c r="S523" i="1"/>
  <c r="R523" i="1"/>
  <c r="U522" i="1"/>
  <c r="T522" i="1"/>
  <c r="S522" i="1"/>
  <c r="R522" i="1"/>
  <c r="U521" i="1"/>
  <c r="T521" i="1"/>
  <c r="S521" i="1"/>
  <c r="R521" i="1"/>
  <c r="U520" i="1"/>
  <c r="T520" i="1"/>
  <c r="S520" i="1"/>
  <c r="R520" i="1"/>
  <c r="U519" i="1"/>
  <c r="T519" i="1"/>
  <c r="S519" i="1"/>
  <c r="R519" i="1"/>
  <c r="U518" i="1"/>
  <c r="T518" i="1"/>
  <c r="S518" i="1"/>
  <c r="R518" i="1"/>
  <c r="U517" i="1"/>
  <c r="T517" i="1"/>
  <c r="S517" i="1"/>
  <c r="R517" i="1"/>
  <c r="U516" i="1"/>
  <c r="T516" i="1"/>
  <c r="S516" i="1"/>
  <c r="R516" i="1"/>
  <c r="U515" i="1"/>
  <c r="T515" i="1"/>
  <c r="S515" i="1"/>
  <c r="R515" i="1"/>
  <c r="U514" i="1"/>
  <c r="T514" i="1"/>
  <c r="S514" i="1"/>
  <c r="R514" i="1"/>
  <c r="U513" i="1"/>
  <c r="T513" i="1"/>
  <c r="S513" i="1"/>
  <c r="R513" i="1"/>
  <c r="U512" i="1"/>
  <c r="T512" i="1"/>
  <c r="S512" i="1"/>
  <c r="R512" i="1"/>
  <c r="U511" i="1"/>
  <c r="T511" i="1"/>
  <c r="S511" i="1"/>
  <c r="R511" i="1"/>
  <c r="U510" i="1"/>
  <c r="T510" i="1"/>
  <c r="S510" i="1"/>
  <c r="R510" i="1"/>
  <c r="U509" i="1"/>
  <c r="T509" i="1"/>
  <c r="S509" i="1"/>
  <c r="R509" i="1"/>
  <c r="U508" i="1"/>
  <c r="T508" i="1"/>
  <c r="S508" i="1"/>
  <c r="R508" i="1"/>
  <c r="U507" i="1"/>
  <c r="T507" i="1"/>
  <c r="S507" i="1"/>
  <c r="R507" i="1"/>
  <c r="U506" i="1"/>
  <c r="T506" i="1"/>
  <c r="S506" i="1"/>
  <c r="R506" i="1"/>
  <c r="U505" i="1"/>
  <c r="T505" i="1"/>
  <c r="S505" i="1"/>
  <c r="R505" i="1"/>
  <c r="U504" i="1"/>
  <c r="T504" i="1"/>
  <c r="S504" i="1"/>
  <c r="R504" i="1"/>
  <c r="U503" i="1"/>
  <c r="T503" i="1"/>
  <c r="S503" i="1"/>
  <c r="R503" i="1"/>
  <c r="U502" i="1"/>
  <c r="T502" i="1"/>
  <c r="S502" i="1"/>
  <c r="R502" i="1"/>
  <c r="U501" i="1"/>
  <c r="T501" i="1"/>
  <c r="S501" i="1"/>
  <c r="R501" i="1"/>
  <c r="U500" i="1"/>
  <c r="T500" i="1"/>
  <c r="S500" i="1"/>
  <c r="R500" i="1"/>
  <c r="U499" i="1"/>
  <c r="T499" i="1"/>
  <c r="S499" i="1"/>
  <c r="R499" i="1"/>
  <c r="U498" i="1"/>
  <c r="T498" i="1"/>
  <c r="S498" i="1"/>
  <c r="R498" i="1"/>
  <c r="U497" i="1"/>
  <c r="T497" i="1"/>
  <c r="S497" i="1"/>
  <c r="R497" i="1"/>
  <c r="U496" i="1"/>
  <c r="T496" i="1"/>
  <c r="S496" i="1"/>
  <c r="R496" i="1"/>
  <c r="U495" i="1"/>
  <c r="T495" i="1"/>
  <c r="S495" i="1"/>
  <c r="R495" i="1"/>
  <c r="U494" i="1"/>
  <c r="T494" i="1"/>
  <c r="S494" i="1"/>
  <c r="R494" i="1"/>
  <c r="U493" i="1"/>
  <c r="T493" i="1"/>
  <c r="S493" i="1"/>
  <c r="R493" i="1"/>
  <c r="U492" i="1"/>
  <c r="T492" i="1"/>
  <c r="S492" i="1"/>
  <c r="R492" i="1"/>
  <c r="U491" i="1"/>
  <c r="T491" i="1"/>
  <c r="S491" i="1"/>
  <c r="R491" i="1"/>
  <c r="U490" i="1"/>
  <c r="T490" i="1"/>
  <c r="S490" i="1"/>
  <c r="R490" i="1"/>
  <c r="U489" i="1"/>
  <c r="T489" i="1"/>
  <c r="S489" i="1"/>
  <c r="R489" i="1"/>
  <c r="U488" i="1"/>
  <c r="T488" i="1"/>
  <c r="S488" i="1"/>
  <c r="R488" i="1"/>
  <c r="U487" i="1"/>
  <c r="T487" i="1"/>
  <c r="S487" i="1"/>
  <c r="R487" i="1"/>
  <c r="U486" i="1"/>
  <c r="T486" i="1"/>
  <c r="S486" i="1"/>
  <c r="R486" i="1"/>
  <c r="U485" i="1"/>
  <c r="T485" i="1"/>
  <c r="S485" i="1"/>
  <c r="R485" i="1"/>
  <c r="U484" i="1"/>
  <c r="T484" i="1"/>
  <c r="S484" i="1"/>
  <c r="R484" i="1"/>
  <c r="U483" i="1"/>
  <c r="T483" i="1"/>
  <c r="S483" i="1"/>
  <c r="R483" i="1"/>
  <c r="U482" i="1"/>
  <c r="T482" i="1"/>
  <c r="S482" i="1"/>
  <c r="R482" i="1"/>
  <c r="U481" i="1"/>
  <c r="T481" i="1"/>
  <c r="S481" i="1"/>
  <c r="R481" i="1"/>
  <c r="U480" i="1"/>
  <c r="T480" i="1"/>
  <c r="S480" i="1"/>
  <c r="R480" i="1"/>
  <c r="U479" i="1"/>
  <c r="T479" i="1"/>
  <c r="S479" i="1"/>
  <c r="R479" i="1"/>
  <c r="U478" i="1"/>
  <c r="T478" i="1"/>
  <c r="S478" i="1"/>
  <c r="R478" i="1"/>
  <c r="U477" i="1"/>
  <c r="T477" i="1"/>
  <c r="S477" i="1"/>
  <c r="R477" i="1"/>
  <c r="U476" i="1"/>
  <c r="T476" i="1"/>
  <c r="S476" i="1"/>
  <c r="R476" i="1"/>
  <c r="U475" i="1"/>
  <c r="T475" i="1"/>
  <c r="S475" i="1"/>
  <c r="R475" i="1"/>
  <c r="U474" i="1"/>
  <c r="T474" i="1"/>
  <c r="S474" i="1"/>
  <c r="R474" i="1"/>
  <c r="U473" i="1"/>
  <c r="T473" i="1"/>
  <c r="S473" i="1"/>
  <c r="R473" i="1"/>
  <c r="U472" i="1"/>
  <c r="T472" i="1"/>
  <c r="S472" i="1"/>
  <c r="R472" i="1"/>
  <c r="U471" i="1"/>
  <c r="T471" i="1"/>
  <c r="S471" i="1"/>
  <c r="R471" i="1"/>
  <c r="U470" i="1"/>
  <c r="T470" i="1"/>
  <c r="S470" i="1"/>
  <c r="R470" i="1"/>
  <c r="U469" i="1"/>
  <c r="T469" i="1"/>
  <c r="S469" i="1"/>
  <c r="R469" i="1"/>
  <c r="U468" i="1"/>
  <c r="T468" i="1"/>
  <c r="S468" i="1"/>
  <c r="R468" i="1"/>
  <c r="U467" i="1"/>
  <c r="T467" i="1"/>
  <c r="S467" i="1"/>
  <c r="R467" i="1"/>
  <c r="U466" i="1"/>
  <c r="T466" i="1"/>
  <c r="S466" i="1"/>
  <c r="R466" i="1"/>
  <c r="U465" i="1"/>
  <c r="T465" i="1"/>
  <c r="S465" i="1"/>
  <c r="R465" i="1"/>
  <c r="U464" i="1"/>
  <c r="T464" i="1"/>
  <c r="S464" i="1"/>
  <c r="R464" i="1"/>
  <c r="U463" i="1"/>
  <c r="T463" i="1"/>
  <c r="S463" i="1"/>
  <c r="R463" i="1"/>
  <c r="U462" i="1"/>
  <c r="T462" i="1"/>
  <c r="S462" i="1"/>
  <c r="R462" i="1"/>
  <c r="U461" i="1"/>
  <c r="T461" i="1"/>
  <c r="S461" i="1"/>
  <c r="R461" i="1"/>
  <c r="U460" i="1"/>
  <c r="T460" i="1"/>
  <c r="S460" i="1"/>
  <c r="R460" i="1"/>
  <c r="U459" i="1"/>
  <c r="T459" i="1"/>
  <c r="S459" i="1"/>
  <c r="R459" i="1"/>
  <c r="U458" i="1"/>
  <c r="T458" i="1"/>
  <c r="S458" i="1"/>
  <c r="R458" i="1"/>
  <c r="U457" i="1"/>
  <c r="T457" i="1"/>
  <c r="S457" i="1"/>
  <c r="R457" i="1"/>
  <c r="U456" i="1"/>
  <c r="T456" i="1"/>
  <c r="S456" i="1"/>
  <c r="R456" i="1"/>
  <c r="U455" i="1"/>
  <c r="T455" i="1"/>
  <c r="S455" i="1"/>
  <c r="R455" i="1"/>
  <c r="U454" i="1"/>
  <c r="T454" i="1"/>
  <c r="S454" i="1"/>
  <c r="R454" i="1"/>
  <c r="U453" i="1"/>
  <c r="T453" i="1"/>
  <c r="S453" i="1"/>
  <c r="R453" i="1"/>
  <c r="U452" i="1"/>
  <c r="T452" i="1"/>
  <c r="S452" i="1"/>
  <c r="R452" i="1"/>
  <c r="U451" i="1"/>
  <c r="T451" i="1"/>
  <c r="S451" i="1"/>
  <c r="R451" i="1"/>
  <c r="U450" i="1"/>
  <c r="T450" i="1"/>
  <c r="S450" i="1"/>
  <c r="R450" i="1"/>
  <c r="U449" i="1"/>
  <c r="T449" i="1"/>
  <c r="S449" i="1"/>
  <c r="R449" i="1"/>
  <c r="U448" i="1"/>
  <c r="T448" i="1"/>
  <c r="S448" i="1"/>
  <c r="R448" i="1"/>
  <c r="U447" i="1"/>
  <c r="T447" i="1"/>
  <c r="S447" i="1"/>
  <c r="R447" i="1"/>
  <c r="U446" i="1"/>
  <c r="T446" i="1"/>
  <c r="S446" i="1"/>
  <c r="R446" i="1"/>
  <c r="U445" i="1"/>
  <c r="T445" i="1"/>
  <c r="S445" i="1"/>
  <c r="R445" i="1"/>
  <c r="U444" i="1"/>
  <c r="T444" i="1"/>
  <c r="S444" i="1"/>
  <c r="R444" i="1"/>
  <c r="U443" i="1"/>
  <c r="T443" i="1"/>
  <c r="S443" i="1"/>
  <c r="R443" i="1"/>
  <c r="U442" i="1"/>
  <c r="T442" i="1"/>
  <c r="S442" i="1"/>
  <c r="R442" i="1"/>
  <c r="U441" i="1"/>
  <c r="T441" i="1"/>
  <c r="S441" i="1"/>
  <c r="R441" i="1"/>
  <c r="U440" i="1"/>
  <c r="T440" i="1"/>
  <c r="S440" i="1"/>
  <c r="R440" i="1"/>
  <c r="U439" i="1"/>
  <c r="T439" i="1"/>
  <c r="S439" i="1"/>
  <c r="R439" i="1"/>
  <c r="U438" i="1"/>
  <c r="T438" i="1"/>
  <c r="S438" i="1"/>
  <c r="R438" i="1"/>
  <c r="U437" i="1"/>
  <c r="T437" i="1"/>
  <c r="S437" i="1"/>
  <c r="R437" i="1"/>
  <c r="U436" i="1"/>
  <c r="T436" i="1"/>
  <c r="S436" i="1"/>
  <c r="R436" i="1"/>
  <c r="U435" i="1"/>
  <c r="T435" i="1"/>
  <c r="S435" i="1"/>
  <c r="R435" i="1"/>
  <c r="U434" i="1"/>
  <c r="T434" i="1"/>
  <c r="S434" i="1"/>
  <c r="R434" i="1"/>
  <c r="U433" i="1"/>
  <c r="T433" i="1"/>
  <c r="S433" i="1"/>
  <c r="R433" i="1"/>
  <c r="U432" i="1"/>
  <c r="T432" i="1"/>
  <c r="S432" i="1"/>
  <c r="R432" i="1"/>
  <c r="U431" i="1"/>
  <c r="T431" i="1"/>
  <c r="S431" i="1"/>
  <c r="R431" i="1"/>
  <c r="U430" i="1"/>
  <c r="T430" i="1"/>
  <c r="S430" i="1"/>
  <c r="R430" i="1"/>
  <c r="U429" i="1"/>
  <c r="T429" i="1"/>
  <c r="S429" i="1"/>
  <c r="R429" i="1"/>
  <c r="U428" i="1"/>
  <c r="T428" i="1"/>
  <c r="S428" i="1"/>
  <c r="R428" i="1"/>
  <c r="U427" i="1"/>
  <c r="T427" i="1"/>
  <c r="S427" i="1"/>
  <c r="R427" i="1"/>
  <c r="U426" i="1"/>
  <c r="T426" i="1"/>
  <c r="S426" i="1"/>
  <c r="R426" i="1"/>
  <c r="U425" i="1"/>
  <c r="T425" i="1"/>
  <c r="S425" i="1"/>
  <c r="R425" i="1"/>
  <c r="U424" i="1"/>
  <c r="T424" i="1"/>
  <c r="S424" i="1"/>
  <c r="R424" i="1"/>
  <c r="U423" i="1"/>
  <c r="T423" i="1"/>
  <c r="S423" i="1"/>
  <c r="R423" i="1"/>
  <c r="U422" i="1"/>
  <c r="T422" i="1"/>
  <c r="S422" i="1"/>
  <c r="R422" i="1"/>
  <c r="U421" i="1"/>
  <c r="T421" i="1"/>
  <c r="S421" i="1"/>
  <c r="R421" i="1"/>
  <c r="U420" i="1"/>
  <c r="T420" i="1"/>
  <c r="S420" i="1"/>
  <c r="R420" i="1"/>
  <c r="U419" i="1"/>
  <c r="T419" i="1"/>
  <c r="S419" i="1"/>
  <c r="R419" i="1"/>
  <c r="U418" i="1"/>
  <c r="T418" i="1"/>
  <c r="S418" i="1"/>
  <c r="R418" i="1"/>
  <c r="U417" i="1"/>
  <c r="T417" i="1"/>
  <c r="S417" i="1"/>
  <c r="R417" i="1"/>
  <c r="U416" i="1"/>
  <c r="T416" i="1"/>
  <c r="S416" i="1"/>
  <c r="R416" i="1"/>
  <c r="U415" i="1"/>
  <c r="T415" i="1"/>
  <c r="S415" i="1"/>
  <c r="R415" i="1"/>
  <c r="U414" i="1"/>
  <c r="T414" i="1"/>
  <c r="S414" i="1"/>
  <c r="R414" i="1"/>
  <c r="U413" i="1"/>
  <c r="T413" i="1"/>
  <c r="S413" i="1"/>
  <c r="R413" i="1"/>
  <c r="U412" i="1"/>
  <c r="T412" i="1"/>
  <c r="S412" i="1"/>
  <c r="R412" i="1"/>
  <c r="U411" i="1"/>
  <c r="T411" i="1"/>
  <c r="S411" i="1"/>
  <c r="R411" i="1"/>
  <c r="U410" i="1"/>
  <c r="T410" i="1"/>
  <c r="S410" i="1"/>
  <c r="R410" i="1"/>
  <c r="U409" i="1"/>
  <c r="T409" i="1"/>
  <c r="S409" i="1"/>
  <c r="R409" i="1"/>
  <c r="U408" i="1"/>
  <c r="T408" i="1"/>
  <c r="S408" i="1"/>
  <c r="R408" i="1"/>
  <c r="U407" i="1"/>
  <c r="T407" i="1"/>
  <c r="S407" i="1"/>
  <c r="R407" i="1"/>
  <c r="U406" i="1"/>
  <c r="T406" i="1"/>
  <c r="S406" i="1"/>
  <c r="R406" i="1"/>
  <c r="U405" i="1"/>
  <c r="T405" i="1"/>
  <c r="S405" i="1"/>
  <c r="R405" i="1"/>
  <c r="U404" i="1"/>
  <c r="T404" i="1"/>
  <c r="S404" i="1"/>
  <c r="R404" i="1"/>
  <c r="U403" i="1"/>
  <c r="T403" i="1"/>
  <c r="S403" i="1"/>
  <c r="R403" i="1"/>
  <c r="U402" i="1"/>
  <c r="T402" i="1"/>
  <c r="S402" i="1"/>
  <c r="R402" i="1"/>
  <c r="U401" i="1"/>
  <c r="T401" i="1"/>
  <c r="S401" i="1"/>
  <c r="R401" i="1"/>
  <c r="U400" i="1"/>
  <c r="T400" i="1"/>
  <c r="S400" i="1"/>
  <c r="R400" i="1"/>
  <c r="U399" i="1"/>
  <c r="T399" i="1"/>
  <c r="S399" i="1"/>
  <c r="R399" i="1"/>
  <c r="U398" i="1"/>
  <c r="T398" i="1"/>
  <c r="S398" i="1"/>
  <c r="R398" i="1"/>
  <c r="U397" i="1"/>
  <c r="T397" i="1"/>
  <c r="S397" i="1"/>
  <c r="R397" i="1"/>
  <c r="U396" i="1"/>
  <c r="T396" i="1"/>
  <c r="S396" i="1"/>
  <c r="R396" i="1"/>
  <c r="U395" i="1"/>
  <c r="T395" i="1"/>
  <c r="S395" i="1"/>
  <c r="R395" i="1"/>
  <c r="U394" i="1"/>
  <c r="T394" i="1"/>
  <c r="S394" i="1"/>
  <c r="R394" i="1"/>
  <c r="U393" i="1"/>
  <c r="T393" i="1"/>
  <c r="S393" i="1"/>
  <c r="R393" i="1"/>
  <c r="U392" i="1"/>
  <c r="T392" i="1"/>
  <c r="S392" i="1"/>
  <c r="R392" i="1"/>
  <c r="U391" i="1"/>
  <c r="T391" i="1"/>
  <c r="S391" i="1"/>
  <c r="R391" i="1"/>
  <c r="U390" i="1"/>
  <c r="T390" i="1"/>
  <c r="S390" i="1"/>
  <c r="R390" i="1"/>
  <c r="U389" i="1"/>
  <c r="T389" i="1"/>
  <c r="S389" i="1"/>
  <c r="R389" i="1"/>
  <c r="U388" i="1"/>
  <c r="T388" i="1"/>
  <c r="S388" i="1"/>
  <c r="R388" i="1"/>
  <c r="U387" i="1"/>
  <c r="T387" i="1"/>
  <c r="S387" i="1"/>
  <c r="R387" i="1"/>
  <c r="U386" i="1"/>
  <c r="T386" i="1"/>
  <c r="S386" i="1"/>
  <c r="R386" i="1"/>
  <c r="U385" i="1"/>
  <c r="T385" i="1"/>
  <c r="S385" i="1"/>
  <c r="R385" i="1"/>
  <c r="U384" i="1"/>
  <c r="T384" i="1"/>
  <c r="S384" i="1"/>
  <c r="R384" i="1"/>
  <c r="U383" i="1"/>
  <c r="T383" i="1"/>
  <c r="S383" i="1"/>
  <c r="R383" i="1"/>
  <c r="U382" i="1"/>
  <c r="T382" i="1"/>
  <c r="S382" i="1"/>
  <c r="R382" i="1"/>
  <c r="U381" i="1"/>
  <c r="T381" i="1"/>
  <c r="S381" i="1"/>
  <c r="R381" i="1"/>
  <c r="U380" i="1"/>
  <c r="T380" i="1"/>
  <c r="S380" i="1"/>
  <c r="R380" i="1"/>
  <c r="U379" i="1"/>
  <c r="T379" i="1"/>
  <c r="S379" i="1"/>
  <c r="R379" i="1"/>
  <c r="U378" i="1"/>
  <c r="T378" i="1"/>
  <c r="S378" i="1"/>
  <c r="R378" i="1"/>
  <c r="U377" i="1"/>
  <c r="T377" i="1"/>
  <c r="S377" i="1"/>
  <c r="R377" i="1"/>
  <c r="U376" i="1"/>
  <c r="T376" i="1"/>
  <c r="S376" i="1"/>
  <c r="R376" i="1"/>
  <c r="U375" i="1"/>
  <c r="T375" i="1"/>
  <c r="S375" i="1"/>
  <c r="R375" i="1"/>
  <c r="U374" i="1"/>
  <c r="T374" i="1"/>
  <c r="S374" i="1"/>
  <c r="R374" i="1"/>
  <c r="U373" i="1"/>
  <c r="T373" i="1"/>
  <c r="S373" i="1"/>
  <c r="R373" i="1"/>
  <c r="U372" i="1"/>
  <c r="T372" i="1"/>
  <c r="S372" i="1"/>
  <c r="R372" i="1"/>
  <c r="U371" i="1"/>
  <c r="T371" i="1"/>
  <c r="S371" i="1"/>
  <c r="R371" i="1"/>
  <c r="U370" i="1"/>
  <c r="T370" i="1"/>
  <c r="S370" i="1"/>
  <c r="R370" i="1"/>
  <c r="U369" i="1"/>
  <c r="T369" i="1"/>
  <c r="S369" i="1"/>
  <c r="R369" i="1"/>
  <c r="U368" i="1"/>
  <c r="T368" i="1"/>
  <c r="S368" i="1"/>
  <c r="R368" i="1"/>
  <c r="U367" i="1"/>
  <c r="T367" i="1"/>
  <c r="S367" i="1"/>
  <c r="R367" i="1"/>
  <c r="U366" i="1"/>
  <c r="T366" i="1"/>
  <c r="S366" i="1"/>
  <c r="R366" i="1"/>
  <c r="U365" i="1"/>
  <c r="T365" i="1"/>
  <c r="S365" i="1"/>
  <c r="R365" i="1"/>
  <c r="U364" i="1"/>
  <c r="T364" i="1"/>
  <c r="S364" i="1"/>
  <c r="R364" i="1"/>
  <c r="U363" i="1"/>
  <c r="T363" i="1"/>
  <c r="S363" i="1"/>
  <c r="R363" i="1"/>
  <c r="U362" i="1"/>
  <c r="T362" i="1"/>
  <c r="S362" i="1"/>
  <c r="R362" i="1"/>
  <c r="U361" i="1"/>
  <c r="T361" i="1"/>
  <c r="S361" i="1"/>
  <c r="R361" i="1"/>
  <c r="U360" i="1"/>
  <c r="T360" i="1"/>
  <c r="S360" i="1"/>
  <c r="R360" i="1"/>
  <c r="U359" i="1"/>
  <c r="T359" i="1"/>
  <c r="S359" i="1"/>
  <c r="R359" i="1"/>
  <c r="U358" i="1"/>
  <c r="T358" i="1"/>
  <c r="S358" i="1"/>
  <c r="R358" i="1"/>
  <c r="U357" i="1"/>
  <c r="T357" i="1"/>
  <c r="S357" i="1"/>
  <c r="R357" i="1"/>
  <c r="U356" i="1"/>
  <c r="T356" i="1"/>
  <c r="S356" i="1"/>
  <c r="R356" i="1"/>
  <c r="U355" i="1"/>
  <c r="T355" i="1"/>
  <c r="S355" i="1"/>
  <c r="R355" i="1"/>
  <c r="U354" i="1"/>
  <c r="T354" i="1"/>
  <c r="S354" i="1"/>
  <c r="R354" i="1"/>
  <c r="U353" i="1"/>
  <c r="T353" i="1"/>
  <c r="S353" i="1"/>
  <c r="R353" i="1"/>
  <c r="U352" i="1"/>
  <c r="T352" i="1"/>
  <c r="S352" i="1"/>
  <c r="R352" i="1"/>
  <c r="U351" i="1"/>
  <c r="T351" i="1"/>
  <c r="S351" i="1"/>
  <c r="R351" i="1"/>
  <c r="U350" i="1"/>
  <c r="T350" i="1"/>
  <c r="S350" i="1"/>
  <c r="R350" i="1"/>
  <c r="U349" i="1"/>
  <c r="T349" i="1"/>
  <c r="S349" i="1"/>
  <c r="R349" i="1"/>
  <c r="U348" i="1"/>
  <c r="T348" i="1"/>
  <c r="S348" i="1"/>
  <c r="R348" i="1"/>
  <c r="U347" i="1"/>
  <c r="T347" i="1"/>
  <c r="S347" i="1"/>
  <c r="R347" i="1"/>
  <c r="U346" i="1"/>
  <c r="T346" i="1"/>
  <c r="S346" i="1"/>
  <c r="R346" i="1"/>
  <c r="U345" i="1"/>
  <c r="T345" i="1"/>
  <c r="S345" i="1"/>
  <c r="R345" i="1"/>
  <c r="U344" i="1"/>
  <c r="T344" i="1"/>
  <c r="S344" i="1"/>
  <c r="R344" i="1"/>
  <c r="U343" i="1"/>
  <c r="T343" i="1"/>
  <c r="S343" i="1"/>
  <c r="R343" i="1"/>
  <c r="U342" i="1"/>
  <c r="T342" i="1"/>
  <c r="S342" i="1"/>
  <c r="R342" i="1"/>
  <c r="U341" i="1"/>
  <c r="T341" i="1"/>
  <c r="S341" i="1"/>
  <c r="R341" i="1"/>
  <c r="U340" i="1"/>
  <c r="T340" i="1"/>
  <c r="S340" i="1"/>
  <c r="R340" i="1"/>
  <c r="U339" i="1"/>
  <c r="T339" i="1"/>
  <c r="S339" i="1"/>
  <c r="R339" i="1"/>
  <c r="U338" i="1"/>
  <c r="T338" i="1"/>
  <c r="S338" i="1"/>
  <c r="R338" i="1"/>
  <c r="U337" i="1"/>
  <c r="T337" i="1"/>
  <c r="S337" i="1"/>
  <c r="R337" i="1"/>
  <c r="U336" i="1"/>
  <c r="T336" i="1"/>
  <c r="S336" i="1"/>
  <c r="R336" i="1"/>
  <c r="U335" i="1"/>
  <c r="T335" i="1"/>
  <c r="S335" i="1"/>
  <c r="R335" i="1"/>
  <c r="U334" i="1"/>
  <c r="T334" i="1"/>
  <c r="S334" i="1"/>
  <c r="R334" i="1"/>
  <c r="U333" i="1"/>
  <c r="T333" i="1"/>
  <c r="S333" i="1"/>
  <c r="R333" i="1"/>
  <c r="U332" i="1"/>
  <c r="T332" i="1"/>
  <c r="S332" i="1"/>
  <c r="R332" i="1"/>
  <c r="U331" i="1"/>
  <c r="T331" i="1"/>
  <c r="S331" i="1"/>
  <c r="R331" i="1"/>
  <c r="U330" i="1"/>
  <c r="T330" i="1"/>
  <c r="S330" i="1"/>
  <c r="R330" i="1"/>
  <c r="U329" i="1"/>
  <c r="T329" i="1"/>
  <c r="S329" i="1"/>
  <c r="R329" i="1"/>
  <c r="U328" i="1"/>
  <c r="T328" i="1"/>
  <c r="S328" i="1"/>
  <c r="R328" i="1"/>
  <c r="U327" i="1"/>
  <c r="T327" i="1"/>
  <c r="S327" i="1"/>
  <c r="R327" i="1"/>
  <c r="U326" i="1"/>
  <c r="T326" i="1"/>
  <c r="S326" i="1"/>
  <c r="R326" i="1"/>
  <c r="U325" i="1"/>
  <c r="T325" i="1"/>
  <c r="S325" i="1"/>
  <c r="R325" i="1"/>
  <c r="U324" i="1"/>
  <c r="T324" i="1"/>
  <c r="S324" i="1"/>
  <c r="R324" i="1"/>
  <c r="U323" i="1"/>
  <c r="T323" i="1"/>
  <c r="S323" i="1"/>
  <c r="R323" i="1"/>
  <c r="U322" i="1"/>
  <c r="T322" i="1"/>
  <c r="S322" i="1"/>
  <c r="R322" i="1"/>
  <c r="U321" i="1"/>
  <c r="T321" i="1"/>
  <c r="S321" i="1"/>
  <c r="R321" i="1"/>
  <c r="U320" i="1"/>
  <c r="T320" i="1"/>
  <c r="S320" i="1"/>
  <c r="R320" i="1"/>
  <c r="U319" i="1"/>
  <c r="T319" i="1"/>
  <c r="S319" i="1"/>
  <c r="R319" i="1"/>
  <c r="U318" i="1"/>
  <c r="T318" i="1"/>
  <c r="S318" i="1"/>
  <c r="R318" i="1"/>
  <c r="U317" i="1"/>
  <c r="T317" i="1"/>
  <c r="S317" i="1"/>
  <c r="R317" i="1"/>
  <c r="U316" i="1"/>
  <c r="T316" i="1"/>
  <c r="S316" i="1"/>
  <c r="R316" i="1"/>
  <c r="U315" i="1"/>
  <c r="T315" i="1"/>
  <c r="S315" i="1"/>
  <c r="R315" i="1"/>
  <c r="U314" i="1"/>
  <c r="T314" i="1"/>
  <c r="S314" i="1"/>
  <c r="R314" i="1"/>
  <c r="U313" i="1"/>
  <c r="T313" i="1"/>
  <c r="S313" i="1"/>
  <c r="R313" i="1"/>
  <c r="U312" i="1"/>
  <c r="T312" i="1"/>
  <c r="S312" i="1"/>
  <c r="R312" i="1"/>
  <c r="U311" i="1"/>
  <c r="T311" i="1"/>
  <c r="S311" i="1"/>
  <c r="R311" i="1"/>
  <c r="U310" i="1"/>
  <c r="T310" i="1"/>
  <c r="S310" i="1"/>
  <c r="R310" i="1"/>
  <c r="U309" i="1"/>
  <c r="T309" i="1"/>
  <c r="S309" i="1"/>
  <c r="R309" i="1"/>
  <c r="U308" i="1"/>
  <c r="T308" i="1"/>
  <c r="S308" i="1"/>
  <c r="R308" i="1"/>
  <c r="U307" i="1"/>
  <c r="T307" i="1"/>
  <c r="S307" i="1"/>
  <c r="R307" i="1"/>
  <c r="U306" i="1"/>
  <c r="T306" i="1"/>
  <c r="S306" i="1"/>
  <c r="R306" i="1"/>
  <c r="U305" i="1"/>
  <c r="T305" i="1"/>
  <c r="S305" i="1"/>
  <c r="R305" i="1"/>
  <c r="U304" i="1"/>
  <c r="T304" i="1"/>
  <c r="S304" i="1"/>
  <c r="R304" i="1"/>
  <c r="U303" i="1"/>
  <c r="T303" i="1"/>
  <c r="S303" i="1"/>
  <c r="R303" i="1"/>
  <c r="U302" i="1"/>
  <c r="T302" i="1"/>
  <c r="S302" i="1"/>
  <c r="R302" i="1"/>
  <c r="U301" i="1"/>
  <c r="T301" i="1"/>
  <c r="S301" i="1"/>
  <c r="R301" i="1"/>
  <c r="U300" i="1"/>
  <c r="T300" i="1"/>
  <c r="S300" i="1"/>
  <c r="R300" i="1"/>
  <c r="U299" i="1"/>
  <c r="T299" i="1"/>
  <c r="S299" i="1"/>
  <c r="R299" i="1"/>
  <c r="U298" i="1"/>
  <c r="T298" i="1"/>
  <c r="S298" i="1"/>
  <c r="R298" i="1"/>
  <c r="U297" i="1"/>
  <c r="T297" i="1"/>
  <c r="S297" i="1"/>
  <c r="R297" i="1"/>
  <c r="U296" i="1"/>
  <c r="T296" i="1"/>
  <c r="S296" i="1"/>
  <c r="R296" i="1"/>
  <c r="U295" i="1"/>
  <c r="T295" i="1"/>
  <c r="S295" i="1"/>
  <c r="R295" i="1"/>
  <c r="U294" i="1"/>
  <c r="T294" i="1"/>
  <c r="S294" i="1"/>
  <c r="R294" i="1"/>
  <c r="U293" i="1"/>
  <c r="T293" i="1"/>
  <c r="S293" i="1"/>
  <c r="R293" i="1"/>
  <c r="U292" i="1"/>
  <c r="T292" i="1"/>
  <c r="S292" i="1"/>
  <c r="R292" i="1"/>
  <c r="U291" i="1"/>
  <c r="T291" i="1"/>
  <c r="S291" i="1"/>
  <c r="R291" i="1"/>
  <c r="U290" i="1"/>
  <c r="T290" i="1"/>
  <c r="S290" i="1"/>
  <c r="R290" i="1"/>
  <c r="U289" i="1"/>
  <c r="T289" i="1"/>
  <c r="S289" i="1"/>
  <c r="R289" i="1"/>
  <c r="U288" i="1"/>
  <c r="T288" i="1"/>
  <c r="S288" i="1"/>
  <c r="R288" i="1"/>
  <c r="U287" i="1"/>
  <c r="T287" i="1"/>
  <c r="S287" i="1"/>
  <c r="R287" i="1"/>
  <c r="U286" i="1"/>
  <c r="T286" i="1"/>
  <c r="S286" i="1"/>
  <c r="R286" i="1"/>
  <c r="U285" i="1"/>
  <c r="T285" i="1"/>
  <c r="S285" i="1"/>
  <c r="R285" i="1"/>
  <c r="U284" i="1"/>
  <c r="T284" i="1"/>
  <c r="S284" i="1"/>
  <c r="R284" i="1"/>
  <c r="U283" i="1"/>
  <c r="T283" i="1"/>
  <c r="S283" i="1"/>
  <c r="R283" i="1"/>
  <c r="U282" i="1"/>
  <c r="T282" i="1"/>
  <c r="S282" i="1"/>
  <c r="R282" i="1"/>
  <c r="U281" i="1"/>
  <c r="T281" i="1"/>
  <c r="S281" i="1"/>
  <c r="R281" i="1"/>
  <c r="U280" i="1"/>
  <c r="T280" i="1"/>
  <c r="S280" i="1"/>
  <c r="R280" i="1"/>
  <c r="U279" i="1"/>
  <c r="T279" i="1"/>
  <c r="S279" i="1"/>
  <c r="R279" i="1"/>
  <c r="U278" i="1"/>
  <c r="T278" i="1"/>
  <c r="S278" i="1"/>
  <c r="R278" i="1"/>
  <c r="U277" i="1"/>
  <c r="T277" i="1"/>
  <c r="S277" i="1"/>
  <c r="R277" i="1"/>
  <c r="U276" i="1"/>
  <c r="T276" i="1"/>
  <c r="S276" i="1"/>
  <c r="R276" i="1"/>
  <c r="U275" i="1"/>
  <c r="T275" i="1"/>
  <c r="S275" i="1"/>
  <c r="R275" i="1"/>
  <c r="U274" i="1"/>
  <c r="T274" i="1"/>
  <c r="S274" i="1"/>
  <c r="R274" i="1"/>
  <c r="U273" i="1"/>
  <c r="T273" i="1"/>
  <c r="S273" i="1"/>
  <c r="R273" i="1"/>
  <c r="U272" i="1"/>
  <c r="T272" i="1"/>
  <c r="S272" i="1"/>
  <c r="R272" i="1"/>
  <c r="U271" i="1"/>
  <c r="T271" i="1"/>
  <c r="S271" i="1"/>
  <c r="R271" i="1"/>
  <c r="U270" i="1"/>
  <c r="T270" i="1"/>
  <c r="S270" i="1"/>
  <c r="R270" i="1"/>
  <c r="U269" i="1"/>
  <c r="T269" i="1"/>
  <c r="S269" i="1"/>
  <c r="R269" i="1"/>
  <c r="U268" i="1"/>
  <c r="T268" i="1"/>
  <c r="S268" i="1"/>
  <c r="R268" i="1"/>
  <c r="U267" i="1"/>
  <c r="T267" i="1"/>
  <c r="S267" i="1"/>
  <c r="R267" i="1"/>
  <c r="U266" i="1"/>
  <c r="T266" i="1"/>
  <c r="S266" i="1"/>
  <c r="R266" i="1"/>
  <c r="U265" i="1"/>
  <c r="T265" i="1"/>
  <c r="S265" i="1"/>
  <c r="R265" i="1"/>
  <c r="U264" i="1"/>
  <c r="T264" i="1"/>
  <c r="S264" i="1"/>
  <c r="R264" i="1"/>
  <c r="U263" i="1"/>
  <c r="T263" i="1"/>
  <c r="S263" i="1"/>
  <c r="R263" i="1"/>
  <c r="U262" i="1"/>
  <c r="T262" i="1"/>
  <c r="S262" i="1"/>
  <c r="R262" i="1"/>
  <c r="U261" i="1"/>
  <c r="T261" i="1"/>
  <c r="S261" i="1"/>
  <c r="R261" i="1"/>
  <c r="U260" i="1"/>
  <c r="T260" i="1"/>
  <c r="S260" i="1"/>
  <c r="R260" i="1"/>
  <c r="U259" i="1"/>
  <c r="T259" i="1"/>
  <c r="S259" i="1"/>
  <c r="R259" i="1"/>
  <c r="U258" i="1"/>
  <c r="T258" i="1"/>
  <c r="S258" i="1"/>
  <c r="R258" i="1"/>
  <c r="U257" i="1"/>
  <c r="T257" i="1"/>
  <c r="S257" i="1"/>
  <c r="R257" i="1"/>
  <c r="U256" i="1"/>
  <c r="T256" i="1"/>
  <c r="S256" i="1"/>
  <c r="R256" i="1"/>
  <c r="U255" i="1"/>
  <c r="T255" i="1"/>
  <c r="S255" i="1"/>
  <c r="R255" i="1"/>
  <c r="U254" i="1"/>
  <c r="T254" i="1"/>
  <c r="S254" i="1"/>
  <c r="R254" i="1"/>
  <c r="U253" i="1"/>
  <c r="T253" i="1"/>
  <c r="S253" i="1"/>
  <c r="R253" i="1"/>
  <c r="U252" i="1"/>
  <c r="T252" i="1"/>
  <c r="S252" i="1"/>
  <c r="R252" i="1"/>
  <c r="U251" i="1"/>
  <c r="T251" i="1"/>
  <c r="S251" i="1"/>
  <c r="R251" i="1"/>
  <c r="U250" i="1"/>
  <c r="T250" i="1"/>
  <c r="S250" i="1"/>
  <c r="R250" i="1"/>
  <c r="U249" i="1"/>
  <c r="T249" i="1"/>
  <c r="S249" i="1"/>
  <c r="R249" i="1"/>
  <c r="U248" i="1"/>
  <c r="T248" i="1"/>
  <c r="S248" i="1"/>
  <c r="R248" i="1"/>
  <c r="U247" i="1"/>
  <c r="T247" i="1"/>
  <c r="S247" i="1"/>
  <c r="R247" i="1"/>
  <c r="U246" i="1"/>
  <c r="T246" i="1"/>
  <c r="S246" i="1"/>
  <c r="R246" i="1"/>
  <c r="U245" i="1"/>
  <c r="T245" i="1"/>
  <c r="S245" i="1"/>
  <c r="R245" i="1"/>
  <c r="U244" i="1"/>
  <c r="T244" i="1"/>
  <c r="S244" i="1"/>
  <c r="R244" i="1"/>
  <c r="U243" i="1"/>
  <c r="T243" i="1"/>
  <c r="S243" i="1"/>
  <c r="R243" i="1"/>
  <c r="U242" i="1"/>
  <c r="T242" i="1"/>
  <c r="S242" i="1"/>
  <c r="R242" i="1"/>
  <c r="U241" i="1"/>
  <c r="T241" i="1"/>
  <c r="S241" i="1"/>
  <c r="R241" i="1"/>
  <c r="U240" i="1"/>
  <c r="T240" i="1"/>
  <c r="S240" i="1"/>
  <c r="R240" i="1"/>
  <c r="U239" i="1"/>
  <c r="T239" i="1"/>
  <c r="S239" i="1"/>
  <c r="R239" i="1"/>
  <c r="U238" i="1"/>
  <c r="T238" i="1"/>
  <c r="S238" i="1"/>
  <c r="R238" i="1"/>
  <c r="U237" i="1"/>
  <c r="T237" i="1"/>
  <c r="S237" i="1"/>
  <c r="R237" i="1"/>
  <c r="U236" i="1"/>
  <c r="T236" i="1"/>
  <c r="S236" i="1"/>
  <c r="R236" i="1"/>
  <c r="U235" i="1"/>
  <c r="T235" i="1"/>
  <c r="S235" i="1"/>
  <c r="R235" i="1"/>
  <c r="U234" i="1"/>
  <c r="T234" i="1"/>
  <c r="S234" i="1"/>
  <c r="R234" i="1"/>
  <c r="U233" i="1"/>
  <c r="T233" i="1"/>
  <c r="S233" i="1"/>
  <c r="R233" i="1"/>
  <c r="U232" i="1"/>
  <c r="T232" i="1"/>
  <c r="S232" i="1"/>
  <c r="R232" i="1"/>
  <c r="U231" i="1"/>
  <c r="T231" i="1"/>
  <c r="S231" i="1"/>
  <c r="R231" i="1"/>
  <c r="U230" i="1"/>
  <c r="T230" i="1"/>
  <c r="S230" i="1"/>
  <c r="R230" i="1"/>
  <c r="U229" i="1"/>
  <c r="T229" i="1"/>
  <c r="S229" i="1"/>
  <c r="R229" i="1"/>
  <c r="U228" i="1"/>
  <c r="T228" i="1"/>
  <c r="S228" i="1"/>
  <c r="R228" i="1"/>
  <c r="U227" i="1"/>
  <c r="T227" i="1"/>
  <c r="S227" i="1"/>
  <c r="R227" i="1"/>
  <c r="U226" i="1"/>
  <c r="T226" i="1"/>
  <c r="S226" i="1"/>
  <c r="R226" i="1"/>
  <c r="U225" i="1"/>
  <c r="T225" i="1"/>
  <c r="S225" i="1"/>
  <c r="R225" i="1"/>
  <c r="U224" i="1"/>
  <c r="T224" i="1"/>
  <c r="S224" i="1"/>
  <c r="R224" i="1"/>
  <c r="U223" i="1"/>
  <c r="T223" i="1"/>
  <c r="S223" i="1"/>
  <c r="R223" i="1"/>
  <c r="U222" i="1"/>
  <c r="T222" i="1"/>
  <c r="S222" i="1"/>
  <c r="R222" i="1"/>
  <c r="U221" i="1"/>
  <c r="T221" i="1"/>
  <c r="S221" i="1"/>
  <c r="R221" i="1"/>
  <c r="U220" i="1"/>
  <c r="T220" i="1"/>
  <c r="S220" i="1"/>
  <c r="R220" i="1"/>
  <c r="U219" i="1"/>
  <c r="T219" i="1"/>
  <c r="S219" i="1"/>
  <c r="R219" i="1"/>
  <c r="U218" i="1"/>
  <c r="T218" i="1"/>
  <c r="S218" i="1"/>
  <c r="R218" i="1"/>
  <c r="U217" i="1"/>
  <c r="T217" i="1"/>
  <c r="S217" i="1"/>
  <c r="R217" i="1"/>
  <c r="U216" i="1"/>
  <c r="T216" i="1"/>
  <c r="S216" i="1"/>
  <c r="R216" i="1"/>
  <c r="U215" i="1"/>
  <c r="T215" i="1"/>
  <c r="S215" i="1"/>
  <c r="R215" i="1"/>
  <c r="U214" i="1"/>
  <c r="T214" i="1"/>
  <c r="S214" i="1"/>
  <c r="R214" i="1"/>
  <c r="U213" i="1"/>
  <c r="T213" i="1"/>
  <c r="S213" i="1"/>
  <c r="R213" i="1"/>
  <c r="U212" i="1"/>
  <c r="T212" i="1"/>
  <c r="S212" i="1"/>
  <c r="R212" i="1"/>
  <c r="U211" i="1"/>
  <c r="T211" i="1"/>
  <c r="S211" i="1"/>
  <c r="R211" i="1"/>
  <c r="U210" i="1"/>
  <c r="T210" i="1"/>
  <c r="S210" i="1"/>
  <c r="R210" i="1"/>
  <c r="U209" i="1"/>
  <c r="T209" i="1"/>
  <c r="S209" i="1"/>
  <c r="R209" i="1"/>
  <c r="U208" i="1"/>
  <c r="T208" i="1"/>
  <c r="S208" i="1"/>
  <c r="R208" i="1"/>
  <c r="U207" i="1"/>
  <c r="T207" i="1"/>
  <c r="S207" i="1"/>
  <c r="R207" i="1"/>
  <c r="U206" i="1"/>
  <c r="T206" i="1"/>
  <c r="S206" i="1"/>
  <c r="R206" i="1"/>
  <c r="U205" i="1"/>
  <c r="T205" i="1"/>
  <c r="S205" i="1"/>
  <c r="R205" i="1"/>
  <c r="U204" i="1"/>
  <c r="T204" i="1"/>
  <c r="S204" i="1"/>
  <c r="R204" i="1"/>
  <c r="U203" i="1"/>
  <c r="T203" i="1"/>
  <c r="S203" i="1"/>
  <c r="R203" i="1"/>
  <c r="U202" i="1"/>
  <c r="T202" i="1"/>
  <c r="S202" i="1"/>
  <c r="R202" i="1"/>
  <c r="U201" i="1"/>
  <c r="T201" i="1"/>
  <c r="S201" i="1"/>
  <c r="R201" i="1"/>
  <c r="U200" i="1"/>
  <c r="T200" i="1"/>
  <c r="S200" i="1"/>
  <c r="R200" i="1"/>
  <c r="U199" i="1"/>
  <c r="T199" i="1"/>
  <c r="S199" i="1"/>
  <c r="R199" i="1"/>
  <c r="U198" i="1"/>
  <c r="T198" i="1"/>
  <c r="S198" i="1"/>
  <c r="R198" i="1"/>
  <c r="U197" i="1"/>
  <c r="T197" i="1"/>
  <c r="S197" i="1"/>
  <c r="R197" i="1"/>
  <c r="U196" i="1"/>
  <c r="T196" i="1"/>
  <c r="S196" i="1"/>
  <c r="R196" i="1"/>
  <c r="U195" i="1"/>
  <c r="T195" i="1"/>
  <c r="S195" i="1"/>
  <c r="R195" i="1"/>
  <c r="U194" i="1"/>
  <c r="T194" i="1"/>
  <c r="S194" i="1"/>
  <c r="R194" i="1"/>
  <c r="U193" i="1"/>
  <c r="T193" i="1"/>
  <c r="S193" i="1"/>
  <c r="R193" i="1"/>
  <c r="U192" i="1"/>
  <c r="T192" i="1"/>
  <c r="S192" i="1"/>
  <c r="R192" i="1"/>
  <c r="U191" i="1"/>
  <c r="T191" i="1"/>
  <c r="S191" i="1"/>
  <c r="R191" i="1"/>
  <c r="U190" i="1"/>
  <c r="T190" i="1"/>
  <c r="S190" i="1"/>
  <c r="R190" i="1"/>
  <c r="U189" i="1"/>
  <c r="T189" i="1"/>
  <c r="S189" i="1"/>
  <c r="R189" i="1"/>
  <c r="U188" i="1"/>
  <c r="T188" i="1"/>
  <c r="S188" i="1"/>
  <c r="R188" i="1"/>
  <c r="U187" i="1"/>
  <c r="T187" i="1"/>
  <c r="S187" i="1"/>
  <c r="R187" i="1"/>
  <c r="U186" i="1"/>
  <c r="T186" i="1"/>
  <c r="S186" i="1"/>
  <c r="R186" i="1"/>
  <c r="U185" i="1"/>
  <c r="T185" i="1"/>
  <c r="S185" i="1"/>
  <c r="R185" i="1"/>
  <c r="U184" i="1"/>
  <c r="T184" i="1"/>
  <c r="S184" i="1"/>
  <c r="R184" i="1"/>
  <c r="U183" i="1"/>
  <c r="T183" i="1"/>
  <c r="S183" i="1"/>
  <c r="R183" i="1"/>
  <c r="U182" i="1"/>
  <c r="T182" i="1"/>
  <c r="S182" i="1"/>
  <c r="R182" i="1"/>
  <c r="U181" i="1"/>
  <c r="T181" i="1"/>
  <c r="S181" i="1"/>
  <c r="R181" i="1"/>
  <c r="U180" i="1"/>
  <c r="T180" i="1"/>
  <c r="S180" i="1"/>
  <c r="R180" i="1"/>
  <c r="U179" i="1"/>
  <c r="T179" i="1"/>
  <c r="S179" i="1"/>
  <c r="R179" i="1"/>
  <c r="U178" i="1"/>
  <c r="T178" i="1"/>
  <c r="S178" i="1"/>
  <c r="R178" i="1"/>
  <c r="U177" i="1"/>
  <c r="T177" i="1"/>
  <c r="S177" i="1"/>
  <c r="R177" i="1"/>
  <c r="U176" i="1"/>
  <c r="T176" i="1"/>
  <c r="S176" i="1"/>
  <c r="R176" i="1"/>
  <c r="U175" i="1"/>
  <c r="T175" i="1"/>
  <c r="S175" i="1"/>
  <c r="R175" i="1"/>
  <c r="U174" i="1"/>
  <c r="T174" i="1"/>
  <c r="S174" i="1"/>
  <c r="R174" i="1"/>
  <c r="U173" i="1"/>
  <c r="T173" i="1"/>
  <c r="S173" i="1"/>
  <c r="R173" i="1"/>
  <c r="U172" i="1"/>
  <c r="T172" i="1"/>
  <c r="S172" i="1"/>
  <c r="R172" i="1"/>
  <c r="U171" i="1"/>
  <c r="T171" i="1"/>
  <c r="S171" i="1"/>
  <c r="R171" i="1"/>
  <c r="U170" i="1"/>
  <c r="T170" i="1"/>
  <c r="S170" i="1"/>
  <c r="R170" i="1"/>
  <c r="U169" i="1"/>
  <c r="T169" i="1"/>
  <c r="S169" i="1"/>
  <c r="R169" i="1"/>
  <c r="U168" i="1"/>
  <c r="T168" i="1"/>
  <c r="S168" i="1"/>
  <c r="R168" i="1"/>
  <c r="U167" i="1"/>
  <c r="T167" i="1"/>
  <c r="S167" i="1"/>
  <c r="R167" i="1"/>
  <c r="U166" i="1"/>
  <c r="T166" i="1"/>
  <c r="S166" i="1"/>
  <c r="R166" i="1"/>
  <c r="U165" i="1"/>
  <c r="T165" i="1"/>
  <c r="S165" i="1"/>
  <c r="R165" i="1"/>
  <c r="U164" i="1"/>
  <c r="T164" i="1"/>
  <c r="S164" i="1"/>
  <c r="R164" i="1"/>
  <c r="U163" i="1"/>
  <c r="T163" i="1"/>
  <c r="S163" i="1"/>
  <c r="R163" i="1"/>
  <c r="U162" i="1"/>
  <c r="T162" i="1"/>
  <c r="S162" i="1"/>
  <c r="R162" i="1"/>
  <c r="U161" i="1"/>
  <c r="T161" i="1"/>
  <c r="S161" i="1"/>
  <c r="R161" i="1"/>
  <c r="U160" i="1"/>
  <c r="T160" i="1"/>
  <c r="S160" i="1"/>
  <c r="R160" i="1"/>
  <c r="U159" i="1"/>
  <c r="T159" i="1"/>
  <c r="S159" i="1"/>
  <c r="R159" i="1"/>
  <c r="U158" i="1"/>
  <c r="T158" i="1"/>
  <c r="S158" i="1"/>
  <c r="R158" i="1"/>
  <c r="U157" i="1"/>
  <c r="T157" i="1"/>
  <c r="S157" i="1"/>
  <c r="R157" i="1"/>
  <c r="U156" i="1"/>
  <c r="T156" i="1"/>
  <c r="S156" i="1"/>
  <c r="R156" i="1"/>
  <c r="U155" i="1"/>
  <c r="T155" i="1"/>
  <c r="S155" i="1"/>
  <c r="R155" i="1"/>
  <c r="U154" i="1"/>
  <c r="T154" i="1"/>
  <c r="S154" i="1"/>
  <c r="R154" i="1"/>
  <c r="U153" i="1"/>
  <c r="T153" i="1"/>
  <c r="S153" i="1"/>
  <c r="R153" i="1"/>
  <c r="U152" i="1"/>
  <c r="T152" i="1"/>
  <c r="S152" i="1"/>
  <c r="R152" i="1"/>
  <c r="U151" i="1"/>
  <c r="T151" i="1"/>
  <c r="S151" i="1"/>
  <c r="R151" i="1"/>
  <c r="U150" i="1"/>
  <c r="T150" i="1"/>
  <c r="S150" i="1"/>
  <c r="R150" i="1"/>
  <c r="U149" i="1"/>
  <c r="T149" i="1"/>
  <c r="S149" i="1"/>
  <c r="R149" i="1"/>
  <c r="U148" i="1"/>
  <c r="T148" i="1"/>
  <c r="S148" i="1"/>
  <c r="R148" i="1"/>
  <c r="U147" i="1"/>
  <c r="T147" i="1"/>
  <c r="S147" i="1"/>
  <c r="R147" i="1"/>
  <c r="U146" i="1"/>
  <c r="T146" i="1"/>
  <c r="S146" i="1"/>
  <c r="R146" i="1"/>
  <c r="U145" i="1"/>
  <c r="T145" i="1"/>
  <c r="S145" i="1"/>
  <c r="R145" i="1"/>
  <c r="U144" i="1"/>
  <c r="T144" i="1"/>
  <c r="S144" i="1"/>
  <c r="R144" i="1"/>
  <c r="U143" i="1"/>
  <c r="T143" i="1"/>
  <c r="S143" i="1"/>
  <c r="R143" i="1"/>
  <c r="U142" i="1"/>
  <c r="T142" i="1"/>
  <c r="S142" i="1"/>
  <c r="R142" i="1"/>
  <c r="U141" i="1"/>
  <c r="T141" i="1"/>
  <c r="S141" i="1"/>
  <c r="R141" i="1"/>
  <c r="U140" i="1"/>
  <c r="T140" i="1"/>
  <c r="S140" i="1"/>
  <c r="R140" i="1"/>
  <c r="U139" i="1"/>
  <c r="T139" i="1"/>
  <c r="S139" i="1"/>
  <c r="R139" i="1"/>
  <c r="U138" i="1"/>
  <c r="T138" i="1"/>
  <c r="S138" i="1"/>
  <c r="R138" i="1"/>
  <c r="U137" i="1"/>
  <c r="T137" i="1"/>
  <c r="S137" i="1"/>
  <c r="R137" i="1"/>
  <c r="U136" i="1"/>
  <c r="T136" i="1"/>
  <c r="S136" i="1"/>
  <c r="R136" i="1"/>
  <c r="U135" i="1"/>
  <c r="T135" i="1"/>
  <c r="S135" i="1"/>
  <c r="R135" i="1"/>
  <c r="U134" i="1"/>
  <c r="T134" i="1"/>
  <c r="S134" i="1"/>
  <c r="R134" i="1"/>
  <c r="U133" i="1"/>
  <c r="T133" i="1"/>
  <c r="S133" i="1"/>
  <c r="R133" i="1"/>
  <c r="U132" i="1"/>
  <c r="T132" i="1"/>
  <c r="S132" i="1"/>
  <c r="R132" i="1"/>
  <c r="U131" i="1"/>
  <c r="T131" i="1"/>
  <c r="S131" i="1"/>
  <c r="R131" i="1"/>
  <c r="U130" i="1"/>
  <c r="T130" i="1"/>
  <c r="S130" i="1"/>
  <c r="R130" i="1"/>
  <c r="U129" i="1"/>
  <c r="T129" i="1"/>
  <c r="S129" i="1"/>
  <c r="R129" i="1"/>
  <c r="U128" i="1"/>
  <c r="T128" i="1"/>
  <c r="S128" i="1"/>
  <c r="R128" i="1"/>
  <c r="U127" i="1"/>
  <c r="T127" i="1"/>
  <c r="S127" i="1"/>
  <c r="R127" i="1"/>
  <c r="U126" i="1"/>
  <c r="T126" i="1"/>
  <c r="S126" i="1"/>
  <c r="R126" i="1"/>
  <c r="U125" i="1"/>
  <c r="T125" i="1"/>
  <c r="S125" i="1"/>
  <c r="R125" i="1"/>
  <c r="U124" i="1"/>
  <c r="T124" i="1"/>
  <c r="S124" i="1"/>
  <c r="R124" i="1"/>
  <c r="U123" i="1"/>
  <c r="T123" i="1"/>
  <c r="S123" i="1"/>
  <c r="R123" i="1"/>
  <c r="U122" i="1"/>
  <c r="T122" i="1"/>
  <c r="S122" i="1"/>
  <c r="R122" i="1"/>
  <c r="U121" i="1"/>
  <c r="T121" i="1"/>
  <c r="S121" i="1"/>
  <c r="R121" i="1"/>
  <c r="U120" i="1"/>
  <c r="T120" i="1"/>
  <c r="S120" i="1"/>
  <c r="R120" i="1"/>
  <c r="U119" i="1"/>
  <c r="T119" i="1"/>
  <c r="S119" i="1"/>
  <c r="R119" i="1"/>
  <c r="U118" i="1"/>
  <c r="T118" i="1"/>
  <c r="S118" i="1"/>
  <c r="R118" i="1"/>
  <c r="U117" i="1"/>
  <c r="T117" i="1"/>
  <c r="S117" i="1"/>
  <c r="R117" i="1"/>
  <c r="U116" i="1"/>
  <c r="T116" i="1"/>
  <c r="S116" i="1"/>
  <c r="R116" i="1"/>
  <c r="U115" i="1"/>
  <c r="T115" i="1"/>
  <c r="S115" i="1"/>
  <c r="R115" i="1"/>
  <c r="U114" i="1"/>
  <c r="T114" i="1"/>
  <c r="S114" i="1"/>
  <c r="R114" i="1"/>
  <c r="U113" i="1"/>
  <c r="T113" i="1"/>
  <c r="S113" i="1"/>
  <c r="R113" i="1"/>
  <c r="U112" i="1"/>
  <c r="T112" i="1"/>
  <c r="S112" i="1"/>
  <c r="R112" i="1"/>
  <c r="U111" i="1"/>
  <c r="T111" i="1"/>
  <c r="S111" i="1"/>
  <c r="R111" i="1"/>
  <c r="U110" i="1"/>
  <c r="T110" i="1"/>
  <c r="S110" i="1"/>
  <c r="R110" i="1"/>
  <c r="U109" i="1"/>
  <c r="T109" i="1"/>
  <c r="S109" i="1"/>
  <c r="R109" i="1"/>
  <c r="U108" i="1"/>
  <c r="T108" i="1"/>
  <c r="S108" i="1"/>
  <c r="R108" i="1"/>
  <c r="U107" i="1"/>
  <c r="T107" i="1"/>
  <c r="S107" i="1"/>
  <c r="R107" i="1"/>
  <c r="U106" i="1"/>
  <c r="T106" i="1"/>
  <c r="S106" i="1"/>
  <c r="R106" i="1"/>
  <c r="U105" i="1"/>
  <c r="T105" i="1"/>
  <c r="S105" i="1"/>
  <c r="R105" i="1"/>
  <c r="U104" i="1"/>
  <c r="T104" i="1"/>
  <c r="S104" i="1"/>
  <c r="R104" i="1"/>
  <c r="U103" i="1"/>
  <c r="T103" i="1"/>
  <c r="S103" i="1"/>
  <c r="R103" i="1"/>
  <c r="U102" i="1"/>
  <c r="T102" i="1"/>
  <c r="S102" i="1"/>
  <c r="R102" i="1"/>
  <c r="U101" i="1"/>
  <c r="T101" i="1"/>
  <c r="S101" i="1"/>
  <c r="R101" i="1"/>
  <c r="U100" i="1"/>
  <c r="T100" i="1"/>
  <c r="S100" i="1"/>
  <c r="R100" i="1"/>
  <c r="U99" i="1"/>
  <c r="T99" i="1"/>
  <c r="S99" i="1"/>
  <c r="R99" i="1"/>
  <c r="U98" i="1"/>
  <c r="T98" i="1"/>
  <c r="S98" i="1"/>
  <c r="R98" i="1"/>
  <c r="U97" i="1"/>
  <c r="T97" i="1"/>
  <c r="S97" i="1"/>
  <c r="R97" i="1"/>
  <c r="U96" i="1"/>
  <c r="T96" i="1"/>
  <c r="S96" i="1"/>
  <c r="R96" i="1"/>
  <c r="U95" i="1"/>
  <c r="T95" i="1"/>
  <c r="S95" i="1"/>
  <c r="R95" i="1"/>
  <c r="U94" i="1"/>
  <c r="T94" i="1"/>
  <c r="S94" i="1"/>
  <c r="R94" i="1"/>
  <c r="U93" i="1"/>
  <c r="T93" i="1"/>
  <c r="S93" i="1"/>
  <c r="R93" i="1"/>
  <c r="U92" i="1"/>
  <c r="T92" i="1"/>
  <c r="S92" i="1"/>
  <c r="R92" i="1"/>
  <c r="U91" i="1"/>
  <c r="T91" i="1"/>
  <c r="S91" i="1"/>
  <c r="R91" i="1"/>
  <c r="U90" i="1"/>
  <c r="T90" i="1"/>
  <c r="S90" i="1"/>
  <c r="R90" i="1"/>
  <c r="U89" i="1"/>
  <c r="T89" i="1"/>
  <c r="S89" i="1"/>
  <c r="R89" i="1"/>
  <c r="U88" i="1"/>
  <c r="T88" i="1"/>
  <c r="S88" i="1"/>
  <c r="R88" i="1"/>
  <c r="U87" i="1"/>
  <c r="T87" i="1"/>
  <c r="S87" i="1"/>
  <c r="R87" i="1"/>
  <c r="U86" i="1"/>
  <c r="T86" i="1"/>
  <c r="S86" i="1"/>
  <c r="R86" i="1"/>
  <c r="U85" i="1"/>
  <c r="T85" i="1"/>
  <c r="S85" i="1"/>
  <c r="R85" i="1"/>
  <c r="U84" i="1"/>
  <c r="T84" i="1"/>
  <c r="S84" i="1"/>
  <c r="R84" i="1"/>
  <c r="U83" i="1"/>
  <c r="T83" i="1"/>
  <c r="S83" i="1"/>
  <c r="R83" i="1"/>
  <c r="U82" i="1"/>
  <c r="T82" i="1"/>
  <c r="S82" i="1"/>
  <c r="R82" i="1"/>
  <c r="U81" i="1"/>
  <c r="T81" i="1"/>
  <c r="S81" i="1"/>
  <c r="R81" i="1"/>
  <c r="U80" i="1"/>
  <c r="T80" i="1"/>
  <c r="S80" i="1"/>
  <c r="R80" i="1"/>
  <c r="U79" i="1"/>
  <c r="T79" i="1"/>
  <c r="S79" i="1"/>
  <c r="R79" i="1"/>
  <c r="U78" i="1"/>
  <c r="T78" i="1"/>
  <c r="S78" i="1"/>
  <c r="R78" i="1"/>
  <c r="U77" i="1"/>
  <c r="T77" i="1"/>
  <c r="S77" i="1"/>
  <c r="R77" i="1"/>
  <c r="U76" i="1"/>
  <c r="T76" i="1"/>
  <c r="S76" i="1"/>
  <c r="R76" i="1"/>
  <c r="U75" i="1"/>
  <c r="T75" i="1"/>
  <c r="S75" i="1"/>
  <c r="R75" i="1"/>
  <c r="U74" i="1"/>
  <c r="T74" i="1"/>
  <c r="S74" i="1"/>
  <c r="R74" i="1"/>
  <c r="U73" i="1"/>
  <c r="T73" i="1"/>
  <c r="S73" i="1"/>
  <c r="R73" i="1"/>
  <c r="U72" i="1"/>
  <c r="T72" i="1"/>
  <c r="S72" i="1"/>
  <c r="R72" i="1"/>
  <c r="U71" i="1"/>
  <c r="T71" i="1"/>
  <c r="S71" i="1"/>
  <c r="R71" i="1"/>
  <c r="U70" i="1"/>
  <c r="T70" i="1"/>
  <c r="S70" i="1"/>
  <c r="R70" i="1"/>
  <c r="U69" i="1"/>
  <c r="T69" i="1"/>
  <c r="S69" i="1"/>
  <c r="R69" i="1"/>
  <c r="U68" i="1"/>
  <c r="T68" i="1"/>
  <c r="S68" i="1"/>
  <c r="R68" i="1"/>
  <c r="U67" i="1"/>
  <c r="T67" i="1"/>
  <c r="S67" i="1"/>
  <c r="R67" i="1"/>
  <c r="U66" i="1"/>
  <c r="T66" i="1"/>
  <c r="S66" i="1"/>
  <c r="R66" i="1"/>
  <c r="U65" i="1"/>
  <c r="T65" i="1"/>
  <c r="S65" i="1"/>
  <c r="R65" i="1"/>
  <c r="U64" i="1"/>
  <c r="T64" i="1"/>
  <c r="S64" i="1"/>
  <c r="R64" i="1"/>
  <c r="U63" i="1"/>
  <c r="T63" i="1"/>
  <c r="S63" i="1"/>
  <c r="R63" i="1"/>
  <c r="U62" i="1"/>
  <c r="T62" i="1"/>
  <c r="S62" i="1"/>
  <c r="R62" i="1"/>
  <c r="U61" i="1"/>
  <c r="T61" i="1"/>
  <c r="S61" i="1"/>
  <c r="R61" i="1"/>
  <c r="U60" i="1"/>
  <c r="T60" i="1"/>
  <c r="S60" i="1"/>
  <c r="R60" i="1"/>
  <c r="U59" i="1"/>
  <c r="T59" i="1"/>
  <c r="S59" i="1"/>
  <c r="R59" i="1"/>
  <c r="U58" i="1"/>
  <c r="T58" i="1"/>
  <c r="S58" i="1"/>
  <c r="R58" i="1"/>
  <c r="U57" i="1"/>
  <c r="T57" i="1"/>
  <c r="S57" i="1"/>
  <c r="R57" i="1"/>
  <c r="U56" i="1"/>
  <c r="T56" i="1"/>
  <c r="S56" i="1"/>
  <c r="R56" i="1"/>
  <c r="U55" i="1"/>
  <c r="T55" i="1"/>
  <c r="S55" i="1"/>
  <c r="R55" i="1"/>
  <c r="U54" i="1"/>
  <c r="T54" i="1"/>
  <c r="S54" i="1"/>
  <c r="R54" i="1"/>
  <c r="U53" i="1"/>
  <c r="T53" i="1"/>
  <c r="S53" i="1"/>
  <c r="R53" i="1"/>
  <c r="U52" i="1"/>
  <c r="T52" i="1"/>
  <c r="S52" i="1"/>
  <c r="R52" i="1"/>
  <c r="U51" i="1"/>
  <c r="T51" i="1"/>
  <c r="S51" i="1"/>
  <c r="R51" i="1"/>
  <c r="U50" i="1"/>
  <c r="T50" i="1"/>
  <c r="S50" i="1"/>
  <c r="R50" i="1"/>
  <c r="U49" i="1"/>
  <c r="T49" i="1"/>
  <c r="S49" i="1"/>
  <c r="R49" i="1"/>
  <c r="U48" i="1"/>
  <c r="T48" i="1"/>
  <c r="S48" i="1"/>
  <c r="R48" i="1"/>
  <c r="U47" i="1"/>
  <c r="T47" i="1"/>
  <c r="S47" i="1"/>
  <c r="R47" i="1"/>
  <c r="U46" i="1"/>
  <c r="T46" i="1"/>
  <c r="S46" i="1"/>
  <c r="R46" i="1"/>
  <c r="U45" i="1"/>
  <c r="T45" i="1"/>
  <c r="S45" i="1"/>
  <c r="R45" i="1"/>
  <c r="U44" i="1"/>
  <c r="T44" i="1"/>
  <c r="S44" i="1"/>
  <c r="R44" i="1"/>
  <c r="U43" i="1"/>
  <c r="T43" i="1"/>
  <c r="S43" i="1"/>
  <c r="R43" i="1"/>
  <c r="U42" i="1"/>
  <c r="T42" i="1"/>
  <c r="S42" i="1"/>
  <c r="R42" i="1"/>
  <c r="U41" i="1"/>
  <c r="T41" i="1"/>
  <c r="S41" i="1"/>
  <c r="R41" i="1"/>
  <c r="U40" i="1"/>
  <c r="T40" i="1"/>
  <c r="S40" i="1"/>
  <c r="R40" i="1"/>
  <c r="U39" i="1"/>
  <c r="T39" i="1"/>
  <c r="S39" i="1"/>
  <c r="R39" i="1"/>
  <c r="U38" i="1"/>
  <c r="T38" i="1"/>
  <c r="S38" i="1"/>
  <c r="R38" i="1"/>
  <c r="U37" i="1"/>
  <c r="T37" i="1"/>
  <c r="S37" i="1"/>
  <c r="R37" i="1"/>
  <c r="U36" i="1"/>
  <c r="T36" i="1"/>
  <c r="S36" i="1"/>
  <c r="R36" i="1"/>
  <c r="U35" i="1"/>
  <c r="T35" i="1"/>
  <c r="S35" i="1"/>
  <c r="R35" i="1"/>
  <c r="U34" i="1"/>
  <c r="T34" i="1"/>
  <c r="S34" i="1"/>
  <c r="R34" i="1"/>
  <c r="U33" i="1"/>
  <c r="T33" i="1"/>
  <c r="S33" i="1"/>
  <c r="R33" i="1"/>
  <c r="U32" i="1"/>
  <c r="T32" i="1"/>
  <c r="S32" i="1"/>
  <c r="R32" i="1"/>
  <c r="U31" i="1"/>
  <c r="T31" i="1"/>
  <c r="S31" i="1"/>
  <c r="R31" i="1"/>
  <c r="U30" i="1"/>
  <c r="T30" i="1"/>
  <c r="S30" i="1"/>
  <c r="R30" i="1"/>
  <c r="U29" i="1"/>
  <c r="T29" i="1"/>
  <c r="S29" i="1"/>
  <c r="R29" i="1"/>
  <c r="U28" i="1"/>
  <c r="T28" i="1"/>
  <c r="S28" i="1"/>
  <c r="R28" i="1"/>
  <c r="U27" i="1"/>
  <c r="T27" i="1"/>
  <c r="S27" i="1"/>
  <c r="R27" i="1"/>
  <c r="U26" i="1"/>
  <c r="T26" i="1"/>
  <c r="S26" i="1"/>
  <c r="R26" i="1"/>
  <c r="U25" i="1"/>
  <c r="T25" i="1"/>
  <c r="S25" i="1"/>
  <c r="R25" i="1"/>
  <c r="U24" i="1"/>
  <c r="T24" i="1"/>
  <c r="S24" i="1"/>
  <c r="R24" i="1"/>
  <c r="U23" i="1"/>
  <c r="T23" i="1"/>
  <c r="S23" i="1"/>
  <c r="R23" i="1"/>
  <c r="U22" i="1"/>
  <c r="T22" i="1"/>
  <c r="S22" i="1"/>
  <c r="R22" i="1"/>
  <c r="U21" i="1"/>
  <c r="T21" i="1"/>
  <c r="S21" i="1"/>
  <c r="R21" i="1"/>
  <c r="U20" i="1"/>
  <c r="T20" i="1"/>
  <c r="S20" i="1"/>
  <c r="R20" i="1"/>
  <c r="U19" i="1"/>
  <c r="T19" i="1"/>
  <c r="S19" i="1"/>
  <c r="R19" i="1"/>
  <c r="U18" i="1"/>
  <c r="T18" i="1"/>
  <c r="S18" i="1"/>
  <c r="R18" i="1"/>
  <c r="U17" i="1"/>
  <c r="T17" i="1"/>
  <c r="S17" i="1"/>
  <c r="R17" i="1"/>
  <c r="U16" i="1"/>
  <c r="T16" i="1"/>
  <c r="S16" i="1"/>
  <c r="R16" i="1"/>
  <c r="U15" i="1"/>
  <c r="T15" i="1"/>
  <c r="S15" i="1"/>
  <c r="R15" i="1"/>
  <c r="U14" i="1"/>
  <c r="T14" i="1"/>
  <c r="S14" i="1"/>
  <c r="R14" i="1"/>
  <c r="U13" i="1"/>
  <c r="T13" i="1"/>
  <c r="S13" i="1"/>
  <c r="R13" i="1"/>
  <c r="U12" i="1"/>
  <c r="T12" i="1"/>
  <c r="S12" i="1"/>
  <c r="R12" i="1"/>
  <c r="U11" i="1"/>
  <c r="T11" i="1"/>
  <c r="S11" i="1"/>
  <c r="R11" i="1"/>
  <c r="U10" i="1"/>
  <c r="T10" i="1"/>
  <c r="S10" i="1"/>
  <c r="R10" i="1"/>
  <c r="U9" i="1"/>
  <c r="T9" i="1"/>
  <c r="S9" i="1"/>
  <c r="R9" i="1"/>
  <c r="U8" i="1"/>
  <c r="T8" i="1"/>
  <c r="S8" i="1"/>
  <c r="R8" i="1"/>
  <c r="U7" i="1"/>
  <c r="T7" i="1"/>
  <c r="S7" i="1"/>
  <c r="R7" i="1"/>
  <c r="U6" i="1"/>
  <c r="T6" i="1"/>
  <c r="S6" i="1"/>
  <c r="R6" i="1"/>
  <c r="U5" i="1"/>
  <c r="T5" i="1"/>
  <c r="S5" i="1"/>
  <c r="R5" i="1"/>
  <c r="U4" i="1"/>
  <c r="T4" i="1"/>
  <c r="S4" i="1"/>
  <c r="R4" i="1"/>
  <c r="U3" i="1"/>
  <c r="T3" i="1"/>
  <c r="S3" i="1"/>
  <c r="R3" i="1"/>
  <c r="U2" i="1"/>
  <c r="T2" i="1"/>
  <c r="S2" i="1"/>
  <c r="R2" i="1"/>
</calcChain>
</file>

<file path=xl/sharedStrings.xml><?xml version="1.0" encoding="utf-8"?>
<sst xmlns="http://schemas.openxmlformats.org/spreadsheetml/2006/main" count="10051" uniqueCount="1266">
  <si>
    <t>Order ID</t>
  </si>
  <si>
    <t>Order Date</t>
  </si>
  <si>
    <t>Customer ID</t>
  </si>
  <si>
    <t>Customer Name</t>
  </si>
  <si>
    <t>Product ID</t>
  </si>
  <si>
    <t>Product Name</t>
  </si>
  <si>
    <t>Category</t>
  </si>
  <si>
    <t>Region</t>
  </si>
  <si>
    <t>Salesperson</t>
  </si>
  <si>
    <t>Quantity</t>
  </si>
  <si>
    <t>Unit Price</t>
  </si>
  <si>
    <t>Discount %</t>
  </si>
  <si>
    <t>Sales</t>
  </si>
  <si>
    <t>Cost</t>
  </si>
  <si>
    <t>Profit</t>
  </si>
  <si>
    <t>Payment Mode</t>
  </si>
  <si>
    <t>Delivery Status</t>
  </si>
  <si>
    <t>O0001</t>
  </si>
  <si>
    <t>C1085</t>
  </si>
  <si>
    <t>Customer 10</t>
  </si>
  <si>
    <t>P107</t>
  </si>
  <si>
    <t>Headphones</t>
  </si>
  <si>
    <t>Electronics</t>
  </si>
  <si>
    <t>East</t>
  </si>
  <si>
    <t>Amit</t>
  </si>
  <si>
    <t>Net Banking</t>
  </si>
  <si>
    <t>Pending</t>
  </si>
  <si>
    <t>O0002</t>
  </si>
  <si>
    <t>C1093</t>
  </si>
  <si>
    <t>Customer 23</t>
  </si>
  <si>
    <t>P102</t>
  </si>
  <si>
    <t>Mouse</t>
  </si>
  <si>
    <t>North</t>
  </si>
  <si>
    <t>Returned</t>
  </si>
  <si>
    <t>O0003</t>
  </si>
  <si>
    <t>C1020</t>
  </si>
  <si>
    <t>Customer 51</t>
  </si>
  <si>
    <t>P101</t>
  </si>
  <si>
    <t>Laptop</t>
  </si>
  <si>
    <t>Sneha</t>
  </si>
  <si>
    <t>Cash</t>
  </si>
  <si>
    <t>O0004</t>
  </si>
  <si>
    <t>C1026</t>
  </si>
  <si>
    <t>Customer 70</t>
  </si>
  <si>
    <t>P106</t>
  </si>
  <si>
    <t>Printer</t>
  </si>
  <si>
    <t>South</t>
  </si>
  <si>
    <t>O0005</t>
  </si>
  <si>
    <t>C1046</t>
  </si>
  <si>
    <t>Customer 54</t>
  </si>
  <si>
    <t>P108</t>
  </si>
  <si>
    <t>Router</t>
  </si>
  <si>
    <t>Networking</t>
  </si>
  <si>
    <t>Neha</t>
  </si>
  <si>
    <t>UPI</t>
  </si>
  <si>
    <t>O0006</t>
  </si>
  <si>
    <t>C1080</t>
  </si>
  <si>
    <t>Customer 31</t>
  </si>
  <si>
    <t>Card</t>
  </si>
  <si>
    <t>O0007</t>
  </si>
  <si>
    <t>C1063</t>
  </si>
  <si>
    <t>Customer 94</t>
  </si>
  <si>
    <t>P105</t>
  </si>
  <si>
    <t>Table</t>
  </si>
  <si>
    <t>Furniture</t>
  </si>
  <si>
    <t>West</t>
  </si>
  <si>
    <t>Rahul</t>
  </si>
  <si>
    <t>O0008</t>
  </si>
  <si>
    <t>C1079</t>
  </si>
  <si>
    <t>Customer 13</t>
  </si>
  <si>
    <t>P103</t>
  </si>
  <si>
    <t>Keyboard</t>
  </si>
  <si>
    <t>Priya</t>
  </si>
  <si>
    <t>O0009</t>
  </si>
  <si>
    <t>C1031</t>
  </si>
  <si>
    <t>Customer 45</t>
  </si>
  <si>
    <t>Delivered</t>
  </si>
  <si>
    <t>O0010</t>
  </si>
  <si>
    <t>C1022</t>
  </si>
  <si>
    <t>Customer 66</t>
  </si>
  <si>
    <t>Karan</t>
  </si>
  <si>
    <t>O0011</t>
  </si>
  <si>
    <t>C1099</t>
  </si>
  <si>
    <t>Customer 14</t>
  </si>
  <si>
    <t>O0012</t>
  </si>
  <si>
    <t>C1077</t>
  </si>
  <si>
    <t>Customer 7</t>
  </si>
  <si>
    <t>O0013</t>
  </si>
  <si>
    <t>C1098</t>
  </si>
  <si>
    <t>Customer 72</t>
  </si>
  <si>
    <t>O0014</t>
  </si>
  <si>
    <t>C1076</t>
  </si>
  <si>
    <t>Customer 8</t>
  </si>
  <si>
    <t>P104</t>
  </si>
  <si>
    <t>Chair</t>
  </si>
  <si>
    <t>O0015</t>
  </si>
  <si>
    <t>C1048</t>
  </si>
  <si>
    <t>Customer 21</t>
  </si>
  <si>
    <t>O0016</t>
  </si>
  <si>
    <t>C1014</t>
  </si>
  <si>
    <t>Customer 69</t>
  </si>
  <si>
    <t>O0017</t>
  </si>
  <si>
    <t>C1087</t>
  </si>
  <si>
    <t>Customer 77</t>
  </si>
  <si>
    <t>O0018</t>
  </si>
  <si>
    <t>C1089</t>
  </si>
  <si>
    <t>O0019</t>
  </si>
  <si>
    <t>C1068</t>
  </si>
  <si>
    <t>Customer 84</t>
  </si>
  <si>
    <t>O0020</t>
  </si>
  <si>
    <t>Customer 100</t>
  </si>
  <si>
    <t>O0021</t>
  </si>
  <si>
    <t>C1082</t>
  </si>
  <si>
    <t>Customer 58</t>
  </si>
  <si>
    <t>O0022</t>
  </si>
  <si>
    <t>C1061</t>
  </si>
  <si>
    <t>Customer 87</t>
  </si>
  <si>
    <t>O0023</t>
  </si>
  <si>
    <t>C1043</t>
  </si>
  <si>
    <t>Customer 22</t>
  </si>
  <si>
    <t>O0024</t>
  </si>
  <si>
    <t>C1032</t>
  </si>
  <si>
    <t>O0025</t>
  </si>
  <si>
    <t>C1071</t>
  </si>
  <si>
    <t>O0026</t>
  </si>
  <si>
    <t>C1004</t>
  </si>
  <si>
    <t>O0027</t>
  </si>
  <si>
    <t>C1097</t>
  </si>
  <si>
    <t>Customer 76</t>
  </si>
  <si>
    <t>O0028</t>
  </si>
  <si>
    <t>Customer 71</t>
  </si>
  <si>
    <t>O0029</t>
  </si>
  <si>
    <t>C1060</t>
  </si>
  <si>
    <t>Customer 61</t>
  </si>
  <si>
    <t>O0030</t>
  </si>
  <si>
    <t>C1024</t>
  </si>
  <si>
    <t>Customer 67</t>
  </si>
  <si>
    <t>O0031</t>
  </si>
  <si>
    <t>C1021</t>
  </si>
  <si>
    <t>Customer 6</t>
  </si>
  <si>
    <t>O0032</t>
  </si>
  <si>
    <t>C1062</t>
  </si>
  <si>
    <t>Customer 52</t>
  </si>
  <si>
    <t>O0033</t>
  </si>
  <si>
    <t>C1027</t>
  </si>
  <si>
    <t>Customer 49</t>
  </si>
  <si>
    <t>O0034</t>
  </si>
  <si>
    <t>C1091</t>
  </si>
  <si>
    <t>O0035</t>
  </si>
  <si>
    <t>O0036</t>
  </si>
  <si>
    <t>C1042</t>
  </si>
  <si>
    <t>O0037</t>
  </si>
  <si>
    <t>C1053</t>
  </si>
  <si>
    <t>Customer 57</t>
  </si>
  <si>
    <t>O0038</t>
  </si>
  <si>
    <t>C1023</t>
  </si>
  <si>
    <t>O0039</t>
  </si>
  <si>
    <t>C1016</t>
  </si>
  <si>
    <t>O0040</t>
  </si>
  <si>
    <t>C1090</t>
  </si>
  <si>
    <t>O0041</t>
  </si>
  <si>
    <t>Customer 48</t>
  </si>
  <si>
    <t>O0042</t>
  </si>
  <si>
    <t>C1044</t>
  </si>
  <si>
    <t>Customer 9</t>
  </si>
  <si>
    <t>O0043</t>
  </si>
  <si>
    <t>Customer 2</t>
  </si>
  <si>
    <t>O0044</t>
  </si>
  <si>
    <t>C1054</t>
  </si>
  <si>
    <t>Customer 3</t>
  </si>
  <si>
    <t>O0045</t>
  </si>
  <si>
    <t>Customer 5</t>
  </si>
  <si>
    <t>O0046</t>
  </si>
  <si>
    <t>C1011</t>
  </si>
  <si>
    <t>Customer 24</t>
  </si>
  <si>
    <t>O0047</t>
  </si>
  <si>
    <t>C1045</t>
  </si>
  <si>
    <t>Customer 91</t>
  </si>
  <si>
    <t>O0048</t>
  </si>
  <si>
    <t>Customer 85</t>
  </si>
  <si>
    <t>O0049</t>
  </si>
  <si>
    <t>O0050</t>
  </si>
  <si>
    <t>C1041</t>
  </si>
  <si>
    <t>Customer 65</t>
  </si>
  <si>
    <t>O0051</t>
  </si>
  <si>
    <t>Customer 26</t>
  </si>
  <si>
    <t>O0052</t>
  </si>
  <si>
    <t>O0053</t>
  </si>
  <si>
    <t>Customer 46</t>
  </si>
  <si>
    <t>O0054</t>
  </si>
  <si>
    <t>C1015</t>
  </si>
  <si>
    <t>Customer 40</t>
  </si>
  <si>
    <t>O0055</t>
  </si>
  <si>
    <t>O0056</t>
  </si>
  <si>
    <t>O0057</t>
  </si>
  <si>
    <t>C1067</t>
  </si>
  <si>
    <t>Customer 73</t>
  </si>
  <si>
    <t>O0058</t>
  </si>
  <si>
    <t>C1086</t>
  </si>
  <si>
    <t>Customer 39</t>
  </si>
  <si>
    <t>O0059</t>
  </si>
  <si>
    <t>Customer 63</t>
  </si>
  <si>
    <t>O0060</t>
  </si>
  <si>
    <t>C1084</t>
  </si>
  <si>
    <t>Customer 90</t>
  </si>
  <si>
    <t>O0061</t>
  </si>
  <si>
    <t>O0062</t>
  </si>
  <si>
    <t>O0063</t>
  </si>
  <si>
    <t>C1073</t>
  </si>
  <si>
    <t>Customer 30</t>
  </si>
  <si>
    <t>O0064</t>
  </si>
  <si>
    <t>O0065</t>
  </si>
  <si>
    <t>C1088</t>
  </si>
  <si>
    <t>O0066</t>
  </si>
  <si>
    <t>C1070</t>
  </si>
  <si>
    <t>O0067</t>
  </si>
  <si>
    <t>C1094</t>
  </si>
  <si>
    <t>O0068</t>
  </si>
  <si>
    <t>O0069</t>
  </si>
  <si>
    <t>C1039</t>
  </si>
  <si>
    <t>O0070</t>
  </si>
  <si>
    <t>C1069</t>
  </si>
  <si>
    <t>Customer 11</t>
  </si>
  <si>
    <t>O0071</t>
  </si>
  <si>
    <t>Customer 50</t>
  </si>
  <si>
    <t>O0072</t>
  </si>
  <si>
    <t>C1036</t>
  </si>
  <si>
    <t>O0073</t>
  </si>
  <si>
    <t>O0074</t>
  </si>
  <si>
    <t>C1050</t>
  </si>
  <si>
    <t>Customer 27</t>
  </si>
  <si>
    <t>O0075</t>
  </si>
  <si>
    <t>C1065</t>
  </si>
  <si>
    <t>O0076</t>
  </si>
  <si>
    <t>C1081</t>
  </si>
  <si>
    <t>Customer 41</t>
  </si>
  <si>
    <t>O0077</t>
  </si>
  <si>
    <t>C1019</t>
  </si>
  <si>
    <t>Customer 74</t>
  </si>
  <si>
    <t>O0078</t>
  </si>
  <si>
    <t>Customer 60</t>
  </si>
  <si>
    <t>O0079</t>
  </si>
  <si>
    <t>C1049</t>
  </si>
  <si>
    <t>O0080</t>
  </si>
  <si>
    <t>O0081</t>
  </si>
  <si>
    <t>O0082</t>
  </si>
  <si>
    <t>C1066</t>
  </si>
  <si>
    <t>Customer 82</t>
  </si>
  <si>
    <t>O0083</t>
  </si>
  <si>
    <t>O0084</t>
  </si>
  <si>
    <t>C1040</t>
  </si>
  <si>
    <t>O0085</t>
  </si>
  <si>
    <t>C1035</t>
  </si>
  <si>
    <t>Customer 83</t>
  </si>
  <si>
    <t>O0086</t>
  </si>
  <si>
    <t>O0087</t>
  </si>
  <si>
    <t>Customer 55</t>
  </si>
  <si>
    <t>O0088</t>
  </si>
  <si>
    <t>Customer 35</t>
  </si>
  <si>
    <t>O0089</t>
  </si>
  <si>
    <t>O0090</t>
  </si>
  <si>
    <t>C1100</t>
  </si>
  <si>
    <t>Customer 68</t>
  </si>
  <si>
    <t>O0091</t>
  </si>
  <si>
    <t>O0092</t>
  </si>
  <si>
    <t>C1025</t>
  </si>
  <si>
    <t>O0093</t>
  </si>
  <si>
    <t>O0094</t>
  </si>
  <si>
    <t>C1037</t>
  </si>
  <si>
    <t>O0095</t>
  </si>
  <si>
    <t>C1059</t>
  </si>
  <si>
    <t>O0096</t>
  </si>
  <si>
    <t>O0097</t>
  </si>
  <si>
    <t>C1038</t>
  </si>
  <si>
    <t>O0098</t>
  </si>
  <si>
    <t>Customer 15</t>
  </si>
  <si>
    <t>O0099</t>
  </si>
  <si>
    <t>C1033</t>
  </si>
  <si>
    <t>Customer 28</t>
  </si>
  <si>
    <t>O0100</t>
  </si>
  <si>
    <t>C1058</t>
  </si>
  <si>
    <t>Customer 78</t>
  </si>
  <si>
    <t>O0101</t>
  </si>
  <si>
    <t>C1001</t>
  </si>
  <si>
    <t>O0102</t>
  </si>
  <si>
    <t>Customer 86</t>
  </si>
  <si>
    <t>O0103</t>
  </si>
  <si>
    <t>O0104</t>
  </si>
  <si>
    <t>O0105</t>
  </si>
  <si>
    <t>O0106</t>
  </si>
  <si>
    <t>O0107</t>
  </si>
  <si>
    <t>C1002</t>
  </si>
  <si>
    <t>O0108</t>
  </si>
  <si>
    <t>Customer 97</t>
  </si>
  <si>
    <t>O0109</t>
  </si>
  <si>
    <t>Customer 37</t>
  </si>
  <si>
    <t>O0110</t>
  </si>
  <si>
    <t>O0111</t>
  </si>
  <si>
    <t>O0112</t>
  </si>
  <si>
    <t>O0113</t>
  </si>
  <si>
    <t>O0114</t>
  </si>
  <si>
    <t>O0115</t>
  </si>
  <si>
    <t>C1095</t>
  </si>
  <si>
    <t>O0116</t>
  </si>
  <si>
    <t>O0117</t>
  </si>
  <si>
    <t>Customer 56</t>
  </si>
  <si>
    <t>O0118</t>
  </si>
  <si>
    <t>O0119</t>
  </si>
  <si>
    <t>O0120</t>
  </si>
  <si>
    <t>O0121</t>
  </si>
  <si>
    <t>Customer 98</t>
  </si>
  <si>
    <t>O0122</t>
  </si>
  <si>
    <t>O0123</t>
  </si>
  <si>
    <t>O0124</t>
  </si>
  <si>
    <t>O0125</t>
  </si>
  <si>
    <t>C1005</t>
  </si>
  <si>
    <t>O0126</t>
  </si>
  <si>
    <t>Customer 20</t>
  </si>
  <si>
    <t>O0127</t>
  </si>
  <si>
    <t>O0128</t>
  </si>
  <si>
    <t>Customer 36</t>
  </si>
  <si>
    <t>O0129</t>
  </si>
  <si>
    <t>O0130</t>
  </si>
  <si>
    <t>C1056</t>
  </si>
  <si>
    <t>O0131</t>
  </si>
  <si>
    <t>C1018</t>
  </si>
  <si>
    <t>O0132</t>
  </si>
  <si>
    <t>O0133</t>
  </si>
  <si>
    <t>O0134</t>
  </si>
  <si>
    <t>Customer 19</t>
  </si>
  <si>
    <t>O0135</t>
  </si>
  <si>
    <t>O0136</t>
  </si>
  <si>
    <t>C1013</t>
  </si>
  <si>
    <t>O0137</t>
  </si>
  <si>
    <t>C1052</t>
  </si>
  <si>
    <t>O0138</t>
  </si>
  <si>
    <t>Customer 93</t>
  </si>
  <si>
    <t>O0139</t>
  </si>
  <si>
    <t>Customer 1</t>
  </si>
  <si>
    <t>O0140</t>
  </si>
  <si>
    <t>Customer 99</t>
  </si>
  <si>
    <t>O0141</t>
  </si>
  <si>
    <t>Customer 34</t>
  </si>
  <si>
    <t>O0142</t>
  </si>
  <si>
    <t>O0143</t>
  </si>
  <si>
    <t>C1008</t>
  </si>
  <si>
    <t>O0144</t>
  </si>
  <si>
    <t>O0145</t>
  </si>
  <si>
    <t>C1075</t>
  </si>
  <si>
    <t>O0146</t>
  </si>
  <si>
    <t>Customer 96</t>
  </si>
  <si>
    <t>O0147</t>
  </si>
  <si>
    <t>Customer 59</t>
  </si>
  <si>
    <t>O0148</t>
  </si>
  <si>
    <t>O0149</t>
  </si>
  <si>
    <t>Customer 29</t>
  </si>
  <si>
    <t>O0150</t>
  </si>
  <si>
    <t>O0151</t>
  </si>
  <si>
    <t>Customer 33</t>
  </si>
  <si>
    <t>O0152</t>
  </si>
  <si>
    <t>C1017</t>
  </si>
  <si>
    <t>O0153</t>
  </si>
  <si>
    <t>O0154</t>
  </si>
  <si>
    <t>O0155</t>
  </si>
  <si>
    <t>O0156</t>
  </si>
  <si>
    <t>C1051</t>
  </si>
  <si>
    <t>O0157</t>
  </si>
  <si>
    <t>C1057</t>
  </si>
  <si>
    <t>O0158</t>
  </si>
  <si>
    <t>O0159</t>
  </si>
  <si>
    <t>C1007</t>
  </si>
  <si>
    <t>O0160</t>
  </si>
  <si>
    <t>O0161</t>
  </si>
  <si>
    <t>O0162</t>
  </si>
  <si>
    <t>O0163</t>
  </si>
  <si>
    <t>O0164</t>
  </si>
  <si>
    <t>C1078</t>
  </si>
  <si>
    <t>Customer 43</t>
  </si>
  <si>
    <t>O0165</t>
  </si>
  <si>
    <t>O0166</t>
  </si>
  <si>
    <t>O0167</t>
  </si>
  <si>
    <t>C1072</t>
  </si>
  <si>
    <t>O0168</t>
  </si>
  <si>
    <t>O0169</t>
  </si>
  <si>
    <t>O0170</t>
  </si>
  <si>
    <t>O0171</t>
  </si>
  <si>
    <t>O0172</t>
  </si>
  <si>
    <t>O0173</t>
  </si>
  <si>
    <t>O0174</t>
  </si>
  <si>
    <t>Customer 12</t>
  </si>
  <si>
    <t>O0175</t>
  </si>
  <si>
    <t>Customer 80</t>
  </si>
  <si>
    <t>O0176</t>
  </si>
  <si>
    <t>O0177</t>
  </si>
  <si>
    <t>Customer 95</t>
  </si>
  <si>
    <t>O0178</t>
  </si>
  <si>
    <t>O0179</t>
  </si>
  <si>
    <t>O0180</t>
  </si>
  <si>
    <t>O0181</t>
  </si>
  <si>
    <t>O0182</t>
  </si>
  <si>
    <t>O0183</t>
  </si>
  <si>
    <t>O0184</t>
  </si>
  <si>
    <t>O0185</t>
  </si>
  <si>
    <t>O0186</t>
  </si>
  <si>
    <t>O0187</t>
  </si>
  <si>
    <t>O0188</t>
  </si>
  <si>
    <t>O0189</t>
  </si>
  <si>
    <t>O0190</t>
  </si>
  <si>
    <t>Customer 79</t>
  </si>
  <si>
    <t>O0191</t>
  </si>
  <si>
    <t>O0192</t>
  </si>
  <si>
    <t>O0193</t>
  </si>
  <si>
    <t>O0194</t>
  </si>
  <si>
    <t>O0195</t>
  </si>
  <si>
    <t>O0196</t>
  </si>
  <si>
    <t>O0197</t>
  </si>
  <si>
    <t>O0198</t>
  </si>
  <si>
    <t>O0199</t>
  </si>
  <si>
    <t>C1029</t>
  </si>
  <si>
    <t>O0200</t>
  </si>
  <si>
    <t>Customer 32</t>
  </si>
  <si>
    <t>O0201</t>
  </si>
  <si>
    <t>Customer 81</t>
  </si>
  <si>
    <t>O0202</t>
  </si>
  <si>
    <t>O0203</t>
  </si>
  <si>
    <t>O0204</t>
  </si>
  <si>
    <t>O0205</t>
  </si>
  <si>
    <t>O0206</t>
  </si>
  <si>
    <t>O0207</t>
  </si>
  <si>
    <t>O0208</t>
  </si>
  <si>
    <t>O0209</t>
  </si>
  <si>
    <t>O0210</t>
  </si>
  <si>
    <t>O0211</t>
  </si>
  <si>
    <t>O0212</t>
  </si>
  <si>
    <t>O0213</t>
  </si>
  <si>
    <t>C1064</t>
  </si>
  <si>
    <t>O0214</t>
  </si>
  <si>
    <t>O0215</t>
  </si>
  <si>
    <t>O0216</t>
  </si>
  <si>
    <t>O0217</t>
  </si>
  <si>
    <t>O0218</t>
  </si>
  <si>
    <t>O0219</t>
  </si>
  <si>
    <t>C1096</t>
  </si>
  <si>
    <t>O0220</t>
  </si>
  <si>
    <t>Customer 47</t>
  </si>
  <si>
    <t>O0221</t>
  </si>
  <si>
    <t>Customer 75</t>
  </si>
  <si>
    <t>O0222</t>
  </si>
  <si>
    <t>C1055</t>
  </si>
  <si>
    <t>O0223</t>
  </si>
  <si>
    <t>O0224</t>
  </si>
  <si>
    <t>O0225</t>
  </si>
  <si>
    <t>O0226</t>
  </si>
  <si>
    <t>O0227</t>
  </si>
  <si>
    <t>O0228</t>
  </si>
  <si>
    <t>O0229</t>
  </si>
  <si>
    <t>O0230</t>
  </si>
  <si>
    <t>C1010</t>
  </si>
  <si>
    <t>O0231</t>
  </si>
  <si>
    <t>O0232</t>
  </si>
  <si>
    <t>O0233</t>
  </si>
  <si>
    <t>O0234</t>
  </si>
  <si>
    <t>O0235</t>
  </si>
  <si>
    <t>O0236</t>
  </si>
  <si>
    <t>O0237</t>
  </si>
  <si>
    <t>O0238</t>
  </si>
  <si>
    <t>C1006</t>
  </si>
  <si>
    <t>O0239</t>
  </si>
  <si>
    <t>O0240</t>
  </si>
  <si>
    <t>C1028</t>
  </si>
  <si>
    <t>O0241</t>
  </si>
  <si>
    <t>C1047</t>
  </si>
  <si>
    <t>O0242</t>
  </si>
  <si>
    <t>O0243</t>
  </si>
  <si>
    <t>O0244</t>
  </si>
  <si>
    <t>O0245</t>
  </si>
  <si>
    <t>C1074</t>
  </si>
  <si>
    <t>O0246</t>
  </si>
  <si>
    <t>O0247</t>
  </si>
  <si>
    <t>O0248</t>
  </si>
  <si>
    <t>O0249</t>
  </si>
  <si>
    <t>O0250</t>
  </si>
  <si>
    <t>O0251</t>
  </si>
  <si>
    <t>O0252</t>
  </si>
  <si>
    <t>O0253</t>
  </si>
  <si>
    <t>O0254</t>
  </si>
  <si>
    <t>O0255</t>
  </si>
  <si>
    <t>O0256</t>
  </si>
  <si>
    <t>O0257</t>
  </si>
  <si>
    <t>O0258</t>
  </si>
  <si>
    <t>O0259</t>
  </si>
  <si>
    <t>O0260</t>
  </si>
  <si>
    <t>O0261</t>
  </si>
  <si>
    <t>O0262</t>
  </si>
  <si>
    <t>O0263</t>
  </si>
  <si>
    <t>C1030</t>
  </si>
  <si>
    <t>Customer 92</t>
  </si>
  <si>
    <t>O0264</t>
  </si>
  <si>
    <t>O0265</t>
  </si>
  <si>
    <t>Customer 4</t>
  </si>
  <si>
    <t>O0266</t>
  </si>
  <si>
    <t>C1009</t>
  </si>
  <si>
    <t>Customer 25</t>
  </si>
  <si>
    <t>O0267</t>
  </si>
  <si>
    <t>O0268</t>
  </si>
  <si>
    <t>Customer 89</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</si>
  <si>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</si>
  <si>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</si>
  <si>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</si>
  <si>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</si>
  <si>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</si>
  <si>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</si>
  <si>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</si>
  <si>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</si>
  <si>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</si>
  <si>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</si>
  <si>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</si>
  <si>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</si>
  <si>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</si>
  <si>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</si>
  <si>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</si>
  <si>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</si>
  <si>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</si>
  <si>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</si>
  <si>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</si>
  <si>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</si>
  <si>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</si>
  <si>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</si>
  <si>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</si>
  <si>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</si>
  <si>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Customer 62</t>
  </si>
  <si>
    <t>O0293</t>
  </si>
  <si>
    <t>O0294</t>
  </si>
  <si>
    <t>O0295</t>
  </si>
  <si>
    <t>Customer 53</t>
  </si>
  <si>
    <t>O0296</t>
  </si>
  <si>
    <t>O0297</t>
  </si>
  <si>
    <t>O0298</t>
  </si>
  <si>
    <t>O0299</t>
  </si>
  <si>
    <t>C1003</t>
  </si>
  <si>
    <t>O0300</t>
  </si>
  <si>
    <t>O0301</t>
  </si>
  <si>
    <t>O0302</t>
  </si>
  <si>
    <t>O0303</t>
  </si>
  <si>
    <t>O0304</t>
  </si>
  <si>
    <t>O0305</t>
  </si>
  <si>
    <t>O0306</t>
  </si>
  <si>
    <t>O0307</t>
  </si>
  <si>
    <t>O0308</t>
  </si>
  <si>
    <t>O0309</t>
  </si>
  <si>
    <t>O0310</t>
  </si>
  <si>
    <t>O0311</t>
  </si>
  <si>
    <t>O0312</t>
  </si>
  <si>
    <t>O0313</t>
  </si>
  <si>
    <t>O0314</t>
  </si>
  <si>
    <t>Customer 16</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</si>
  <si>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</si>
  <si>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</si>
  <si>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</si>
  <si>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</si>
  <si>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</si>
  <si>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</si>
  <si>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</si>
  <si>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</si>
  <si>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</si>
  <si>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</si>
  <si>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</si>
  <si>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</si>
  <si>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</si>
  <si>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</si>
  <si>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</si>
  <si>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</si>
  <si>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</si>
  <si>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</si>
  <si>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</si>
  <si>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</si>
  <si>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</si>
  <si>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</si>
  <si>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</si>
  <si>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</si>
  <si>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</si>
  <si>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</si>
  <si>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</si>
  <si>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</si>
  <si>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</si>
  <si>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</si>
  <si>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</si>
  <si>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</si>
  <si>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</si>
  <si>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</si>
  <si>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</si>
  <si>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</si>
  <si>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</si>
  <si>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</si>
  <si>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</si>
  <si>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</si>
  <si>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</si>
  <si>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</si>
  <si>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</si>
  <si>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</si>
  <si>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</si>
  <si>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</si>
  <si>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</si>
  <si>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</si>
  <si>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</si>
  <si>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</si>
  <si>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Customer 42</t>
  </si>
  <si>
    <t>O0365</t>
  </si>
  <si>
    <t>O0366</t>
  </si>
  <si>
    <t>O0367</t>
  </si>
  <si>
    <t>O0368</t>
  </si>
  <si>
    <t>O0369</t>
  </si>
  <si>
    <t>O0370</t>
  </si>
  <si>
    <t>C1083</t>
  </si>
  <si>
    <t>O0371</t>
  </si>
  <si>
    <t>O0372</t>
  </si>
  <si>
    <t>O0373</t>
  </si>
  <si>
    <t>O0374</t>
  </si>
  <si>
    <t>O0375</t>
  </si>
  <si>
    <t>O0376</t>
  </si>
  <si>
    <t>O0377</t>
  </si>
  <si>
    <t>O0378</t>
  </si>
  <si>
    <t>O0379</t>
  </si>
  <si>
    <t>C1034</t>
  </si>
  <si>
    <t>O0380</t>
  </si>
  <si>
    <t>O0381</t>
  </si>
  <si>
    <t>O0382</t>
  </si>
  <si>
    <t>O0383</t>
  </si>
  <si>
    <t>O0384</t>
  </si>
  <si>
    <t>O0385</t>
  </si>
  <si>
    <t>O0386</t>
  </si>
  <si>
    <t>O0387</t>
  </si>
  <si>
    <t>O0388</t>
  </si>
  <si>
    <t>O0389</t>
  </si>
  <si>
    <t>C1012</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</si>
  <si>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</si>
  <si>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</si>
  <si>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</si>
  <si>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</si>
  <si>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</si>
  <si>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</si>
  <si>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</si>
  <si>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</si>
  <si>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</si>
  <si>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</si>
  <si>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</si>
  <si>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</si>
  <si>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</si>
  <si>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</si>
  <si>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</si>
  <si>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</si>
  <si>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</si>
  <si>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</si>
  <si>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</si>
  <si>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</si>
  <si>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</si>
  <si>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</si>
  <si>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</si>
  <si>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</si>
  <si>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</si>
  <si>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</si>
  <si>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</si>
  <si>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</si>
  <si>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</si>
  <si>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</si>
  <si>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Customer 38</t>
  </si>
  <si>
    <t>O0420</t>
  </si>
  <si>
    <t>O0421</t>
  </si>
  <si>
    <t>O0422</t>
  </si>
  <si>
    <t>O0423</t>
  </si>
  <si>
    <t>Customer 18</t>
  </si>
  <si>
    <t>O0424</t>
  </si>
  <si>
    <t>O0425</t>
  </si>
  <si>
    <t>O0426</t>
  </si>
  <si>
    <t>O0427</t>
  </si>
  <si>
    <t>O0428</t>
  </si>
  <si>
    <t>C1092</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</si>
  <si>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</si>
  <si>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</si>
  <si>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</si>
  <si>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</si>
  <si>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</si>
  <si>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</si>
  <si>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</si>
  <si>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</si>
  <si>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</si>
  <si>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</si>
  <si>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</si>
  <si>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</si>
  <si>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</si>
  <si>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</si>
  <si>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</si>
  <si>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</si>
  <si>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</si>
  <si>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</si>
  <si>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</si>
  <si>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</si>
  <si>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</si>
  <si>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</si>
  <si>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</si>
  <si>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</si>
  <si>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</si>
  <si>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</si>
  <si>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</si>
  <si>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</si>
  <si>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</si>
  <si>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</si>
  <si>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</si>
  <si>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</si>
  <si>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</si>
  <si>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</si>
  <si>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</si>
  <si>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</si>
  <si>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</si>
  <si>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</si>
  <si>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</si>
  <si>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</si>
  <si>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Customer 64</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</si>
  <si>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</si>
  <si>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</si>
  <si>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</si>
  <si>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</si>
  <si>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</si>
  <si>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</si>
  <si>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</si>
  <si>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</si>
  <si>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</si>
  <si>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</si>
  <si>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</si>
  <si>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</si>
  <si>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</si>
  <si>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</si>
  <si>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</si>
  <si>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</si>
  <si>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</si>
  <si>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</si>
  <si>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</si>
  <si>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</si>
  <si>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</si>
  <si>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</si>
  <si>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</si>
  <si>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</si>
  <si>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</si>
  <si>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</si>
  <si>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</si>
  <si>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</si>
  <si>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</si>
  <si>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</si>
  <si>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</si>
  <si>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</si>
  <si>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</si>
  <si>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</si>
  <si>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</si>
  <si>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</si>
  <si>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</si>
  <si>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</si>
  <si>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</si>
  <si>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</si>
  <si>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</si>
  <si>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</si>
  <si>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</si>
  <si>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</si>
  <si>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</si>
  <si>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</si>
  <si>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</si>
  <si>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</si>
  <si>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</si>
  <si>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</si>
  <si>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</si>
  <si>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</si>
  <si>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</si>
  <si>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</si>
  <si>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</si>
  <si>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Customer 44</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</si>
  <si>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</si>
  <si>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</si>
  <si>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</si>
  <si>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</si>
  <si>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</si>
  <si>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</si>
  <si>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</si>
  <si>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</si>
  <si>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</si>
  <si>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</si>
  <si>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</si>
  <si>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</si>
  <si>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</si>
  <si>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</si>
  <si>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</si>
  <si>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</si>
  <si>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</si>
  <si>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</si>
  <si>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</si>
  <si>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</si>
  <si>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</si>
  <si>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</si>
  <si>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</si>
  <si>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</si>
  <si>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</si>
  <si>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</si>
  <si>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</si>
  <si>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</si>
  <si>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</si>
  <si>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</si>
  <si>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</si>
  <si>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</si>
  <si>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</si>
  <si>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</si>
  <si>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</si>
  <si>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</si>
  <si>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</si>
  <si>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</si>
  <si>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</si>
  <si>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</si>
  <si>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</si>
  <si>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</si>
  <si>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</si>
  <si>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</si>
  <si>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</si>
  <si>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</si>
  <si>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</si>
  <si>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</si>
  <si>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</si>
  <si>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</si>
  <si>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</si>
  <si>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</si>
  <si>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</si>
  <si>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</si>
  <si>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</si>
  <si>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</si>
  <si>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</si>
  <si>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</si>
  <si>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</si>
  <si>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</si>
  <si>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</si>
  <si>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</si>
  <si>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</si>
  <si>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</si>
  <si>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</si>
  <si>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</si>
  <si>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</si>
  <si>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</si>
  <si>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</si>
  <si>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</si>
  <si>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</si>
  <si>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</si>
  <si>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</si>
  <si>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</si>
  <si>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</si>
  <si>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</si>
  <si>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</si>
  <si>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</si>
  <si>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</si>
  <si>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</si>
  <si>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</si>
  <si>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</si>
  <si>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</si>
  <si>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</si>
  <si>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</si>
  <si>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</si>
  <si>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</si>
  <si>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</si>
  <si>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</si>
  <si>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</si>
  <si>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</si>
  <si>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</si>
  <si>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</si>
  <si>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</si>
  <si>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</si>
  <si>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</si>
  <si>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</si>
  <si>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</si>
  <si>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</si>
  <si>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</si>
  <si>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Customer 88</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</si>
  <si>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</si>
  <si>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</si>
  <si>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</si>
  <si>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</si>
  <si>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</si>
  <si>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</si>
  <si>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</si>
  <si>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</si>
  <si>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</si>
  <si>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</si>
  <si>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</si>
  <si>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</si>
  <si>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</si>
  <si>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</si>
  <si>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</si>
  <si>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</si>
  <si>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</si>
  <si>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</si>
  <si>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</si>
  <si>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</si>
  <si>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</si>
  <si>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</si>
  <si>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</si>
  <si>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</si>
  <si>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</si>
  <si>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</si>
  <si>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</si>
  <si>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</si>
  <si>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</si>
  <si>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</si>
  <si>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</si>
  <si>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</si>
  <si>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</si>
  <si>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</si>
  <si>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</si>
  <si>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</si>
  <si>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</si>
  <si>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</si>
  <si>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</si>
  <si>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</si>
  <si>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</si>
  <si>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</si>
  <si>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</si>
  <si>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</si>
  <si>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</si>
  <si>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</si>
  <si>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Customer 17</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</si>
  <si>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</si>
  <si>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</si>
  <si>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</si>
  <si>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</si>
  <si>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</si>
  <si>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</si>
  <si>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</si>
  <si>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</si>
  <si>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</si>
  <si>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</si>
  <si>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</si>
  <si>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</si>
  <si>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</si>
  <si>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</si>
  <si>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</si>
  <si>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</si>
  <si>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</si>
  <si>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</si>
  <si>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</si>
  <si>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</si>
  <si>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</si>
  <si>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</si>
  <si>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</si>
  <si>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</si>
  <si>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</si>
  <si>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</si>
  <si>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</si>
  <si>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</si>
  <si>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</si>
  <si>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</si>
  <si>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</si>
  <si>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</si>
  <si>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</si>
  <si>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</si>
  <si>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</si>
  <si>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</si>
  <si>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</si>
  <si>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</si>
  <si>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</si>
  <si>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</si>
  <si>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</si>
  <si>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</si>
  <si>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</si>
  <si>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</si>
  <si>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</si>
  <si>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</si>
  <si>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</si>
  <si>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</si>
  <si>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</si>
  <si>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</si>
  <si>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</si>
  <si>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</si>
  <si>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</si>
  <si>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</si>
  <si>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</si>
  <si>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</si>
  <si>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</si>
  <si>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</si>
  <si>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</si>
  <si>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</si>
  <si>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</si>
  <si>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</si>
  <si>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</si>
  <si>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</si>
  <si>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</si>
  <si>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</si>
  <si>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</si>
  <si>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</si>
  <si>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</si>
  <si>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</si>
  <si>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</si>
  <si>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</si>
  <si>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</si>
  <si>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</si>
  <si>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</si>
  <si>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</si>
  <si>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</si>
  <si>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</si>
  <si>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</si>
  <si>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</si>
  <si>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</si>
  <si>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</si>
  <si>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</si>
  <si>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</si>
  <si>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</si>
  <si>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</si>
  <si>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</si>
  <si>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</si>
  <si>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</si>
  <si>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</si>
  <si>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</si>
  <si>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</si>
  <si>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</si>
  <si>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</si>
  <si>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</si>
  <si>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</si>
  <si>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</si>
  <si>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</si>
  <si>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</si>
  <si>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</si>
  <si>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</si>
  <si>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</si>
  <si>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</si>
  <si>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</si>
  <si>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</si>
  <si>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</si>
  <si>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</si>
  <si>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</si>
  <si>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</si>
  <si>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</si>
  <si>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</si>
  <si>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</si>
  <si>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</si>
  <si>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</si>
  <si>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</si>
  <si>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</si>
  <si>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</si>
  <si>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</si>
  <si>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</si>
  <si>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</si>
  <si>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</si>
  <si>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</si>
  <si>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</si>
  <si>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</si>
  <si>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</si>
  <si>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</si>
  <si>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</si>
  <si>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</si>
  <si>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</si>
  <si>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</si>
  <si>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</si>
  <si>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</si>
  <si>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</si>
  <si>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</si>
  <si>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</si>
  <si>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</si>
  <si>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</si>
  <si>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</si>
  <si>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</si>
  <si>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</si>
  <si>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</si>
  <si>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</si>
  <si>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</si>
  <si>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</si>
  <si>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</si>
  <si>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</si>
  <si>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</si>
  <si>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</si>
  <si>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</si>
  <si>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</si>
  <si>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</si>
  <si>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</si>
  <si>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</si>
  <si>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</si>
  <si>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</si>
  <si>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</si>
  <si>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</si>
  <si>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</si>
  <si>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</si>
  <si>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</si>
  <si>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</si>
  <si>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</si>
  <si>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</si>
  <si>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</si>
  <si>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</si>
  <si>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</si>
  <si>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</si>
  <si>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</si>
  <si>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</si>
  <si>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</si>
  <si>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</si>
  <si>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</si>
  <si>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</si>
  <si>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</si>
  <si>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</si>
  <si>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</si>
  <si>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</si>
  <si>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</si>
  <si>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</si>
  <si>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</si>
  <si>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</si>
  <si>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</si>
  <si>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</si>
  <si>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</si>
  <si>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</si>
  <si>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</si>
  <si>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</si>
  <si>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</si>
  <si>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</si>
  <si>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</si>
  <si>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</si>
  <si>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</si>
  <si>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</si>
  <si>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</si>
  <si>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</si>
  <si>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</si>
  <si>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</si>
  <si>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</si>
  <si>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</si>
  <si>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</si>
  <si>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</si>
  <si>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</si>
  <si>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</si>
  <si>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</si>
  <si>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</si>
  <si>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</si>
  <si>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</si>
  <si>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</si>
  <si>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</si>
  <si>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</si>
  <si>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</si>
  <si>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</si>
  <si>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</si>
  <si>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</si>
  <si>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</si>
  <si>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</si>
  <si>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</si>
  <si>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</si>
  <si>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</si>
  <si>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</si>
  <si>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</si>
  <si>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</si>
  <si>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</si>
  <si>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</si>
  <si>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</si>
  <si>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</si>
  <si>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</si>
  <si>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</si>
  <si>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</si>
  <si>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</si>
  <si>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</si>
  <si>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</si>
  <si>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</si>
  <si>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</si>
  <si>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</si>
  <si>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</si>
  <si>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</si>
  <si>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</si>
  <si>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</si>
  <si>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</si>
  <si>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</si>
  <si>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</si>
  <si>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</si>
  <si>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</si>
  <si>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</si>
  <si>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</si>
  <si>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</si>
  <si>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</si>
  <si>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</si>
  <si>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</si>
  <si>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</si>
  <si>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</si>
  <si>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</si>
  <si>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</si>
  <si>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</si>
  <si>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</si>
  <si>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</si>
  <si>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</si>
  <si>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</si>
  <si>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</si>
  <si>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</si>
  <si>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</si>
  <si>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</si>
  <si>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</si>
  <si>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</si>
  <si>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</si>
  <si>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</si>
  <si>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</si>
  <si>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</si>
  <si>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</si>
  <si>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</si>
  <si>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</si>
  <si>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</si>
  <si>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</si>
  <si>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</si>
  <si>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</si>
  <si>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</si>
  <si>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</si>
  <si>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</si>
  <si>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</si>
  <si>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</si>
  <si>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</si>
  <si>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</si>
  <si>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</si>
  <si>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</si>
  <si>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</si>
  <si>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</si>
  <si>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</si>
  <si>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</si>
  <si>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</si>
  <si>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</si>
  <si>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</si>
  <si>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</si>
  <si>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</si>
  <si>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</si>
  <si>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</si>
  <si>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</si>
  <si>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</si>
  <si>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</si>
  <si>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</si>
  <si>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</si>
  <si>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</si>
  <si>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</si>
  <si>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</si>
  <si>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</si>
  <si>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</si>
  <si>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</si>
  <si>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</si>
  <si>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</si>
  <si>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</si>
  <si>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</si>
  <si>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</si>
  <si>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</si>
  <si>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</si>
  <si>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</si>
  <si>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</si>
  <si>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</si>
  <si>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</si>
  <si>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</si>
  <si>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</si>
  <si>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</si>
  <si>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</si>
  <si>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</si>
  <si>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</si>
  <si>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</si>
  <si>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</si>
  <si>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</si>
  <si>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</si>
  <si>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</si>
  <si>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</si>
  <si>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</si>
  <si>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Month</t>
  </si>
  <si>
    <t>Quarter</t>
  </si>
  <si>
    <t>Year</t>
  </si>
  <si>
    <t>Profit %</t>
  </si>
  <si>
    <t>Row Labels</t>
  </si>
  <si>
    <t>Grand Total</t>
  </si>
  <si>
    <t>Sum of Sales</t>
  </si>
  <si>
    <t>MONTHLY SALES</t>
  </si>
  <si>
    <t>Sum of Profit</t>
  </si>
  <si>
    <t>CATEGORY VS SALES</t>
  </si>
  <si>
    <t>REGION VS SALES</t>
  </si>
  <si>
    <t>PAYMENT MODE</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</si>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</sst>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ADLaM Display"/>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vertical="center" wrapText="1"/>
    </xf>
    <xf numFmtId="0" fontId="0" fillId="0" borderId="0" xfId="0" pivotButton="1"/>
    <xf numFmtId="0" fontId="0" fillId="0" borderId="0" xfId="0" applyAlignment="1">
      <alignment horizontal="left"/>
    </xf>
    <xf numFmtId="0" fontId="1" fillId="0" borderId="0" xfId="0" applyFont="1"/>
    <xf numFmtId="0" fontId="0" fillId="2" borderId="0" xfId="0" applyFill="1" applyAlignment="1">
      <alignment horizontal="center"/>
    </xf>
    <xf numFmtId="0" fontId="0" fillId="2" borderId="0" xfId="0" applyFill="1"/>
  </cellXfs>
  <cellStyles count="1">
    <cellStyle name="Normal" xfId="0" builtinId="0"/>
  </cellStyles>
  <dxfs count="4">
    <dxf>
      <numFmt numFmtId="0" formatCode="General"/>
    </dxf>
    <dxf>
      <numFmt numFmtId="0" formatCode="General"/>
    </dxf>
    <dxf>
      <numFmt numFmtId="0" formatCode="General"/>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Deshboard.xlsx]practice deshboard!month sale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VS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981627296589"/>
          <c:y val="0.27458114610673667"/>
          <c:w val="0.72312270341207352"/>
          <c:h val="0.52644757946923304"/>
        </c:manualLayout>
      </c:layout>
      <c:barChart>
        <c:barDir val="col"/>
        <c:grouping val="clustered"/>
        <c:varyColors val="0"/>
        <c:ser>
          <c:idx val="0"/>
          <c:order val="0"/>
          <c:tx>
            <c:strRef>
              <c:f>'practice deshboard'!$B$3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 deshboard'!$A$4:$A$5</c:f>
              <c:strCache>
                <c:ptCount val="1"/>
                <c:pt idx="0">
                  <c:v>May</c:v>
                </c:pt>
              </c:strCache>
            </c:strRef>
          </c:cat>
          <c:val>
            <c:numRef>
              <c:f>'practice deshboard'!$B$4:$B$5</c:f>
              <c:numCache>
                <c:formatCode>General</c:formatCode>
                <c:ptCount val="1"/>
                <c:pt idx="0">
                  <c:v>604065</c:v>
                </c:pt>
              </c:numCache>
            </c:numRef>
          </c:val>
          <c:extLst>
            <c:ext xmlns:c16="http://schemas.microsoft.com/office/drawing/2014/chart" uri="{C3380CC4-5D6E-409C-BE32-E72D297353CC}">
              <c16:uniqueId val="{00000000-1C3B-48F3-8DD5-CFEC9FF20E71}"/>
            </c:ext>
          </c:extLst>
        </c:ser>
        <c:dLbls>
          <c:showLegendKey val="0"/>
          <c:showVal val="0"/>
          <c:showCatName val="0"/>
          <c:showSerName val="0"/>
          <c:showPercent val="0"/>
          <c:showBubbleSize val="0"/>
        </c:dLbls>
        <c:gapWidth val="100"/>
        <c:overlap val="-24"/>
        <c:axId val="366244960"/>
        <c:axId val="366245744"/>
      </c:barChart>
      <c:catAx>
        <c:axId val="36624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45744"/>
        <c:crosses val="autoZero"/>
        <c:auto val="1"/>
        <c:lblAlgn val="ctr"/>
        <c:lblOffset val="100"/>
        <c:noMultiLvlLbl val="0"/>
      </c:catAx>
      <c:valAx>
        <c:axId val="366245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4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Deshboard.xlsx]practice deshboard!category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VS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deshboard'!$B$19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'practice deshboard'!$A$20:$A$21</c:f>
              <c:strCache>
                <c:ptCount val="1"/>
                <c:pt idx="0">
                  <c:v>Networking</c:v>
                </c:pt>
              </c:strCache>
            </c:strRef>
          </c:cat>
          <c:val>
            <c:numRef>
              <c:f>'practice deshboard'!$B$20:$B$21</c:f>
              <c:numCache>
                <c:formatCode>General</c:formatCode>
                <c:ptCount val="1"/>
                <c:pt idx="0">
                  <c:v>19040</c:v>
                </c:pt>
              </c:numCache>
            </c:numRef>
          </c:val>
          <c:extLst>
            <c:ext xmlns:c16="http://schemas.microsoft.com/office/drawing/2014/chart" uri="{C3380CC4-5D6E-409C-BE32-E72D297353CC}">
              <c16:uniqueId val="{00000000-713F-4654-940E-3463C862314B}"/>
            </c:ext>
          </c:extLst>
        </c:ser>
        <c:dLbls>
          <c:dLblPos val="outEnd"/>
          <c:showLegendKey val="0"/>
          <c:showVal val="1"/>
          <c:showCatName val="0"/>
          <c:showSerName val="0"/>
          <c:showPercent val="0"/>
          <c:showBubbleSize val="0"/>
        </c:dLbls>
        <c:gapWidth val="100"/>
        <c:overlap val="-24"/>
        <c:axId val="366239864"/>
        <c:axId val="366240256"/>
      </c:barChart>
      <c:catAx>
        <c:axId val="366239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40256"/>
        <c:crosses val="autoZero"/>
        <c:auto val="1"/>
        <c:lblAlgn val="ctr"/>
        <c:lblOffset val="100"/>
        <c:noMultiLvlLbl val="0"/>
      </c:catAx>
      <c:valAx>
        <c:axId val="366240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39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Deshboard.xlsx]practice deshboard!region</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 deshboard'!$B$26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 deshboard'!$A$27:$A$31</c:f>
              <c:strCache>
                <c:ptCount val="4"/>
                <c:pt idx="0">
                  <c:v>East</c:v>
                </c:pt>
                <c:pt idx="1">
                  <c:v>North</c:v>
                </c:pt>
                <c:pt idx="2">
                  <c:v>South</c:v>
                </c:pt>
                <c:pt idx="3">
                  <c:v>West</c:v>
                </c:pt>
              </c:strCache>
            </c:strRef>
          </c:cat>
          <c:val>
            <c:numRef>
              <c:f>'practice deshboard'!$B$27:$B$31</c:f>
              <c:numCache>
                <c:formatCode>General</c:formatCode>
                <c:ptCount val="4"/>
                <c:pt idx="0">
                  <c:v>36600</c:v>
                </c:pt>
                <c:pt idx="1">
                  <c:v>93810.000000000029</c:v>
                </c:pt>
                <c:pt idx="2">
                  <c:v>2250</c:v>
                </c:pt>
                <c:pt idx="3">
                  <c:v>17525</c:v>
                </c:pt>
              </c:numCache>
            </c:numRef>
          </c:val>
          <c:extLst>
            <c:ext xmlns:c16="http://schemas.microsoft.com/office/drawing/2014/chart" uri="{C3380CC4-5D6E-409C-BE32-E72D297353CC}">
              <c16:uniqueId val="{00000000-95EE-4808-ADD4-7BDDF4E9161B}"/>
            </c:ext>
          </c:extLst>
        </c:ser>
        <c:dLbls>
          <c:showLegendKey val="0"/>
          <c:showVal val="0"/>
          <c:showCatName val="0"/>
          <c:showSerName val="0"/>
          <c:showPercent val="0"/>
          <c:showBubbleSize val="0"/>
        </c:dLbls>
        <c:gapWidth val="115"/>
        <c:overlap val="-20"/>
        <c:axId val="366240648"/>
        <c:axId val="366241432"/>
      </c:barChart>
      <c:catAx>
        <c:axId val="366240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41432"/>
        <c:crosses val="autoZero"/>
        <c:auto val="1"/>
        <c:lblAlgn val="ctr"/>
        <c:lblOffset val="100"/>
        <c:noMultiLvlLbl val="0"/>
      </c:catAx>
      <c:valAx>
        <c:axId val="3662414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40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Deshboard.xlsx]practice deshboard!payment</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'practice deshboard'!$B$34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BD3-4A7D-BB4A-4C3E14F9BC2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BD3-4A7D-BB4A-4C3E14F9BC2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BD3-4A7D-BB4A-4C3E14F9BC2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BD3-4A7D-BB4A-4C3E14F9BC29}"/>
              </c:ext>
            </c:extLst>
          </c:dPt>
          <c:cat>
            <c:strRef>
              <c:f>'practice deshboard'!$A$35:$A$39</c:f>
              <c:strCache>
                <c:ptCount val="4"/>
                <c:pt idx="0">
                  <c:v>Card</c:v>
                </c:pt>
                <c:pt idx="1">
                  <c:v>Cash</c:v>
                </c:pt>
                <c:pt idx="2">
                  <c:v>Net Banking</c:v>
                </c:pt>
                <c:pt idx="3">
                  <c:v>UPI</c:v>
                </c:pt>
              </c:strCache>
            </c:strRef>
          </c:cat>
          <c:val>
            <c:numRef>
              <c:f>'practice deshboard'!$B$35:$B$39</c:f>
              <c:numCache>
                <c:formatCode>General</c:formatCode>
                <c:ptCount val="4"/>
                <c:pt idx="0">
                  <c:v>22950</c:v>
                </c:pt>
                <c:pt idx="1">
                  <c:v>369990</c:v>
                </c:pt>
                <c:pt idx="2">
                  <c:v>207925</c:v>
                </c:pt>
                <c:pt idx="3">
                  <c:v>3200</c:v>
                </c:pt>
              </c:numCache>
            </c:numRef>
          </c:val>
          <c:extLst>
            <c:ext xmlns:c16="http://schemas.microsoft.com/office/drawing/2014/chart" uri="{C3380CC4-5D6E-409C-BE32-E72D297353CC}">
              <c16:uniqueId val="{00000008-5BD3-4A7D-BB4A-4C3E14F9BC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Deshboard.xlsx]practice deshboard!salesperson</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1585792498161"/>
          <c:y val="0.22384216654600583"/>
          <c:w val="0.75200659419916538"/>
          <c:h val="0.61378566561965386"/>
        </c:manualLayout>
      </c:layout>
      <c:barChart>
        <c:barDir val="col"/>
        <c:grouping val="clustered"/>
        <c:varyColors val="0"/>
        <c:ser>
          <c:idx val="0"/>
          <c:order val="0"/>
          <c:tx>
            <c:strRef>
              <c:f>'practice deshboard'!$B$42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'practice deshboard'!$A$43:$A$44</c:f>
              <c:strCache>
                <c:ptCount val="1"/>
                <c:pt idx="0">
                  <c:v>Sneha</c:v>
                </c:pt>
              </c:strCache>
            </c:strRef>
          </c:cat>
          <c:val>
            <c:numRef>
              <c:f>'practice deshboard'!$B$43:$B$44</c:f>
              <c:numCache>
                <c:formatCode>General</c:formatCode>
                <c:ptCount val="1"/>
                <c:pt idx="0">
                  <c:v>604065</c:v>
                </c:pt>
              </c:numCache>
            </c:numRef>
          </c:val>
          <c:extLst>
            <c:ext xmlns:c16="http://schemas.microsoft.com/office/drawing/2014/chart" uri="{C3380CC4-5D6E-409C-BE32-E72D297353CC}">
              <c16:uniqueId val="{00000000-4279-4F31-B6FF-8E14066DDD91}"/>
            </c:ext>
          </c:extLst>
        </c:ser>
        <c:dLbls>
          <c:showLegendKey val="0"/>
          <c:showVal val="0"/>
          <c:showCatName val="0"/>
          <c:showSerName val="0"/>
          <c:showPercent val="0"/>
          <c:showBubbleSize val="0"/>
        </c:dLbls>
        <c:gapWidth val="100"/>
        <c:overlap val="-24"/>
        <c:axId val="366243784"/>
        <c:axId val="367438192"/>
      </c:barChart>
      <c:catAx>
        <c:axId val="366243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7438192"/>
        <c:crosses val="autoZero"/>
        <c:auto val="1"/>
        <c:lblAlgn val="ctr"/>
        <c:lblOffset val="100"/>
        <c:noMultiLvlLbl val="0"/>
      </c:catAx>
      <c:valAx>
        <c:axId val="367438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243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5094306303971"/>
          <c:y val="0.13384682793283276"/>
          <c:w val="0.82686351706036743"/>
          <c:h val="0.52264253426655005"/>
        </c:manualLayout>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Chair</c:v>
              </c:pt>
              <c:pt idx="1">
                <c:v>Headphones</c:v>
              </c:pt>
              <c:pt idx="2">
                <c:v>Keyboard</c:v>
              </c:pt>
              <c:pt idx="3">
                <c:v>Laptop</c:v>
              </c:pt>
              <c:pt idx="4">
                <c:v>Mouse</c:v>
              </c:pt>
              <c:pt idx="5">
                <c:v>Printer</c:v>
              </c:pt>
              <c:pt idx="6">
                <c:v>Router</c:v>
              </c:pt>
              <c:pt idx="7">
                <c:v>Table</c:v>
              </c:pt>
            </c:strLit>
          </c:cat>
          <c:val>
            <c:numLit>
              <c:formatCode>General</c:formatCode>
              <c:ptCount val="8"/>
              <c:pt idx="0">
                <c:v>1961325</c:v>
              </c:pt>
              <c:pt idx="1">
                <c:v>1917300</c:v>
              </c:pt>
              <c:pt idx="2">
                <c:v>1045725</c:v>
              </c:pt>
              <c:pt idx="3">
                <c:v>39341500</c:v>
              </c:pt>
              <c:pt idx="4">
                <c:v>537600</c:v>
              </c:pt>
              <c:pt idx="5">
                <c:v>5548000</c:v>
              </c:pt>
              <c:pt idx="6">
                <c:v>2096000</c:v>
              </c:pt>
              <c:pt idx="7">
                <c:v>5678000</c:v>
              </c:pt>
            </c:numLit>
          </c:val>
          <c:extLst>
            <c:ext xmlns:c16="http://schemas.microsoft.com/office/drawing/2014/chart" uri="{C3380CC4-5D6E-409C-BE32-E72D297353CC}">
              <c16:uniqueId val="{00000000-B595-42D6-880E-F116F7CAF02D}"/>
            </c:ext>
          </c:extLst>
        </c:ser>
        <c:dLbls>
          <c:dLblPos val="outEnd"/>
          <c:showLegendKey val="0"/>
          <c:showVal val="1"/>
          <c:showCatName val="0"/>
          <c:showSerName val="0"/>
          <c:showPercent val="0"/>
          <c:showBubbleSize val="0"/>
        </c:dLbls>
        <c:gapWidth val="100"/>
        <c:overlap val="-24"/>
        <c:axId val="365495256"/>
        <c:axId val="365499960"/>
      </c:barChart>
      <c:catAx>
        <c:axId val="365495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9960"/>
        <c:crosses val="autoZero"/>
        <c:auto val="1"/>
        <c:lblAlgn val="ctr"/>
        <c:lblOffset val="100"/>
        <c:noMultiLvlLbl val="0"/>
      </c:catAx>
      <c:valAx>
        <c:axId val="365499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5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Networking</c:v>
              </c:pt>
            </c:strLit>
          </c:cat>
          <c:val>
            <c:numLit>
              <c:formatCode>General</c:formatCode>
              <c:ptCount val="3"/>
              <c:pt idx="0">
                <c:v>48390125</c:v>
              </c:pt>
              <c:pt idx="1">
                <c:v>7639325</c:v>
              </c:pt>
              <c:pt idx="2">
                <c:v>2096000</c:v>
              </c:pt>
            </c:numLit>
          </c:val>
          <c:extLst>
            <c:ext xmlns:c16="http://schemas.microsoft.com/office/drawing/2014/chart" uri="{C3380CC4-5D6E-409C-BE32-E72D297353CC}">
              <c16:uniqueId val="{00000000-8B8C-4CB9-940A-93631578BEFA}"/>
            </c:ext>
          </c:extLst>
        </c:ser>
        <c:dLbls>
          <c:dLblPos val="outEnd"/>
          <c:showLegendKey val="0"/>
          <c:showVal val="1"/>
          <c:showCatName val="0"/>
          <c:showSerName val="0"/>
          <c:showPercent val="0"/>
          <c:showBubbleSize val="0"/>
        </c:dLbls>
        <c:gapWidth val="115"/>
        <c:overlap val="-20"/>
        <c:axId val="365500744"/>
        <c:axId val="365495648"/>
      </c:barChart>
      <c:catAx>
        <c:axId val="36550074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5648"/>
        <c:crosses val="autoZero"/>
        <c:auto val="1"/>
        <c:lblAlgn val="ctr"/>
        <c:lblOffset val="100"/>
        <c:noMultiLvlLbl val="0"/>
      </c:catAx>
      <c:valAx>
        <c:axId val="3654956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500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F98-4229-8D6C-D244E5967AFD}"/>
              </c:ext>
            </c:extLst>
          </c:dPt>
          <c:dPt>
            <c:idx val="9"/>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F98-4229-8D6C-D244E5967AFD}"/>
              </c:ext>
            </c:extLst>
          </c:dPt>
          <c:dLbls>
            <c:dLbl>
              <c:idx val="4"/>
              <c:layout>
                <c:manualLayout>
                  <c:x val="8.3333333333333332E-3"/>
                  <c:y val="-5.55555555555555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98-4229-8D6C-D244E5967AFD}"/>
                </c:ext>
              </c:extLst>
            </c:dLbl>
            <c:dLbl>
              <c:idx val="9"/>
              <c:layout>
                <c:manualLayout>
                  <c:x val="-5.5555555555555558E-3"/>
                  <c:y val="-6.48148148148148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98-4229-8D6C-D244E5967A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4415365</c:v>
              </c:pt>
              <c:pt idx="1">
                <c:v>5650830</c:v>
              </c:pt>
              <c:pt idx="2">
                <c:v>3403615</c:v>
              </c:pt>
              <c:pt idx="3">
                <c:v>6302095</c:v>
              </c:pt>
              <c:pt idx="4">
                <c:v>6494935</c:v>
              </c:pt>
              <c:pt idx="5">
                <c:v>5515305</c:v>
              </c:pt>
              <c:pt idx="6">
                <c:v>5074720</c:v>
              </c:pt>
              <c:pt idx="7">
                <c:v>4225915</c:v>
              </c:pt>
              <c:pt idx="8">
                <c:v>2666030</c:v>
              </c:pt>
              <c:pt idx="9">
                <c:v>4241480</c:v>
              </c:pt>
              <c:pt idx="10">
                <c:v>4311375</c:v>
              </c:pt>
              <c:pt idx="11">
                <c:v>5823785</c:v>
              </c:pt>
            </c:numLit>
          </c:val>
          <c:extLst>
            <c:ext xmlns:c16="http://schemas.microsoft.com/office/drawing/2014/chart" uri="{C3380CC4-5D6E-409C-BE32-E72D297353CC}">
              <c16:uniqueId val="{00000004-8F98-4229-8D6C-D244E5967AFD}"/>
            </c:ext>
          </c:extLst>
        </c:ser>
        <c:dLbls>
          <c:dLblPos val="outEnd"/>
          <c:showLegendKey val="0"/>
          <c:showVal val="1"/>
          <c:showCatName val="0"/>
          <c:showSerName val="0"/>
          <c:showPercent val="0"/>
          <c:showBubbleSize val="0"/>
        </c:dLbls>
        <c:gapWidth val="100"/>
        <c:overlap val="-24"/>
        <c:axId val="365496824"/>
        <c:axId val="365494472"/>
      </c:barChart>
      <c:catAx>
        <c:axId val="365496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4472"/>
        <c:crosses val="autoZero"/>
        <c:auto val="1"/>
        <c:lblAlgn val="ctr"/>
        <c:lblOffset val="100"/>
        <c:noMultiLvlLbl val="0"/>
      </c:catAx>
      <c:valAx>
        <c:axId val="365494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6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2325412590178"/>
          <c:y val="5.0925925925925923E-2"/>
          <c:w val="0.8264114730968265"/>
          <c:h val="0.8416746864975212"/>
        </c:manualLayout>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Electronics</c:v>
              </c:pt>
              <c:pt idx="1">
                <c:v>Furniture</c:v>
              </c:pt>
              <c:pt idx="2">
                <c:v>Networking</c:v>
              </c:pt>
            </c:strLit>
          </c:cat>
          <c:val>
            <c:numLit>
              <c:formatCode>General</c:formatCode>
              <c:ptCount val="3"/>
              <c:pt idx="0">
                <c:v>10561985</c:v>
              </c:pt>
              <c:pt idx="1">
                <c:v>1672525</c:v>
              </c:pt>
              <c:pt idx="2">
                <c:v>456320</c:v>
              </c:pt>
            </c:numLit>
          </c:val>
          <c:extLst>
            <c:ext xmlns:c16="http://schemas.microsoft.com/office/drawing/2014/chart" uri="{C3380CC4-5D6E-409C-BE32-E72D297353CC}">
              <c16:uniqueId val="{00000000-3377-4B71-B7DE-6C04A988A9AE}"/>
            </c:ext>
          </c:extLst>
        </c:ser>
        <c:dLbls>
          <c:showLegendKey val="0"/>
          <c:showVal val="0"/>
          <c:showCatName val="0"/>
          <c:showSerName val="0"/>
          <c:showPercent val="0"/>
          <c:showBubbleSize val="0"/>
        </c:dLbls>
        <c:gapWidth val="100"/>
        <c:overlap val="-24"/>
        <c:axId val="365497216"/>
        <c:axId val="365497608"/>
      </c:barChart>
      <c:catAx>
        <c:axId val="365497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7608"/>
        <c:crosses val="autoZero"/>
        <c:auto val="1"/>
        <c:lblAlgn val="ctr"/>
        <c:lblOffset val="100"/>
        <c:noMultiLvlLbl val="0"/>
      </c:catAx>
      <c:valAx>
        <c:axId val="365497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72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13091925</c:v>
              </c:pt>
              <c:pt idx="1">
                <c:v>15279580</c:v>
              </c:pt>
              <c:pt idx="2">
                <c:v>15805950</c:v>
              </c:pt>
              <c:pt idx="3">
                <c:v>13947995</c:v>
              </c:pt>
            </c:numLit>
          </c:val>
          <c:extLst>
            <c:ext xmlns:c16="http://schemas.microsoft.com/office/drawing/2014/chart" uri="{C3380CC4-5D6E-409C-BE32-E72D297353CC}">
              <c16:uniqueId val="{00000000-1296-4694-957F-C766DD25A406}"/>
            </c:ext>
          </c:extLst>
        </c:ser>
        <c:dLbls>
          <c:dLblPos val="outEnd"/>
          <c:showLegendKey val="0"/>
          <c:showVal val="1"/>
          <c:showCatName val="0"/>
          <c:showSerName val="0"/>
          <c:showPercent val="0"/>
          <c:showBubbleSize val="0"/>
        </c:dLbls>
        <c:gapWidth val="219"/>
        <c:overlap val="-27"/>
        <c:axId val="1082175872"/>
        <c:axId val="926119168"/>
      </c:barChart>
      <c:catAx>
        <c:axId val="108217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19168"/>
        <c:crosses val="autoZero"/>
        <c:auto val="1"/>
        <c:lblAlgn val="ctr"/>
        <c:lblOffset val="100"/>
        <c:noMultiLvlLbl val="0"/>
      </c:catAx>
      <c:valAx>
        <c:axId val="926119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7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2878785</c:v>
              </c:pt>
              <c:pt idx="1">
                <c:v>3394070</c:v>
              </c:pt>
              <c:pt idx="2">
                <c:v>3203080</c:v>
              </c:pt>
              <c:pt idx="3">
                <c:v>3214895</c:v>
              </c:pt>
            </c:numLit>
          </c:val>
          <c:extLst>
            <c:ext xmlns:c16="http://schemas.microsoft.com/office/drawing/2014/chart" uri="{C3380CC4-5D6E-409C-BE32-E72D297353CC}">
              <c16:uniqueId val="{00000000-0994-4C45-B64F-3DD5981BBCD5}"/>
            </c:ext>
          </c:extLst>
        </c:ser>
        <c:dLbls>
          <c:showLegendKey val="0"/>
          <c:showVal val="0"/>
          <c:showCatName val="0"/>
          <c:showSerName val="0"/>
          <c:showPercent val="0"/>
          <c:showBubbleSize val="0"/>
        </c:dLbls>
        <c:gapWidth val="219"/>
        <c:overlap val="-27"/>
        <c:axId val="1194235824"/>
        <c:axId val="926132608"/>
      </c:barChart>
      <c:catAx>
        <c:axId val="11942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32608"/>
        <c:crosses val="autoZero"/>
        <c:auto val="1"/>
        <c:lblAlgn val="ctr"/>
        <c:lblOffset val="100"/>
        <c:noMultiLvlLbl val="0"/>
      </c:catAx>
      <c:valAx>
        <c:axId val="92613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3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5094306303971"/>
          <c:y val="0.13384682793283276"/>
          <c:w val="0.82686351706036743"/>
          <c:h val="0.52264253426655005"/>
        </c:manualLayout>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Chair</c:v>
              </c:pt>
              <c:pt idx="1">
                <c:v>Headphones</c:v>
              </c:pt>
              <c:pt idx="2">
                <c:v>Keyboard</c:v>
              </c:pt>
              <c:pt idx="3">
                <c:v>Laptop</c:v>
              </c:pt>
              <c:pt idx="4">
                <c:v>Mouse</c:v>
              </c:pt>
              <c:pt idx="5">
                <c:v>Printer</c:v>
              </c:pt>
              <c:pt idx="6">
                <c:v>Router</c:v>
              </c:pt>
              <c:pt idx="7">
                <c:v>Table</c:v>
              </c:pt>
            </c:strLit>
          </c:cat>
          <c:val>
            <c:numLit>
              <c:formatCode>General</c:formatCode>
              <c:ptCount val="8"/>
              <c:pt idx="0">
                <c:v>1961325</c:v>
              </c:pt>
              <c:pt idx="1">
                <c:v>1917300</c:v>
              </c:pt>
              <c:pt idx="2">
                <c:v>1045725</c:v>
              </c:pt>
              <c:pt idx="3">
                <c:v>39341500</c:v>
              </c:pt>
              <c:pt idx="4">
                <c:v>537600</c:v>
              </c:pt>
              <c:pt idx="5">
                <c:v>5548000</c:v>
              </c:pt>
              <c:pt idx="6">
                <c:v>2096000</c:v>
              </c:pt>
              <c:pt idx="7">
                <c:v>5678000</c:v>
              </c:pt>
            </c:numLit>
          </c:val>
          <c:extLst>
            <c:ext xmlns:c16="http://schemas.microsoft.com/office/drawing/2014/chart" uri="{C3380CC4-5D6E-409C-BE32-E72D297353CC}">
              <c16:uniqueId val="{00000000-770F-4FDF-B4B3-4890D9DFF21B}"/>
            </c:ext>
          </c:extLst>
        </c:ser>
        <c:dLbls>
          <c:dLblPos val="outEnd"/>
          <c:showLegendKey val="0"/>
          <c:showVal val="1"/>
          <c:showCatName val="0"/>
          <c:showSerName val="0"/>
          <c:showPercent val="0"/>
          <c:showBubbleSize val="0"/>
        </c:dLbls>
        <c:gapWidth val="100"/>
        <c:overlap val="-24"/>
        <c:axId val="365495256"/>
        <c:axId val="365499960"/>
      </c:barChart>
      <c:catAx>
        <c:axId val="365495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9960"/>
        <c:crosses val="autoZero"/>
        <c:auto val="1"/>
        <c:lblAlgn val="ctr"/>
        <c:lblOffset val="100"/>
        <c:noMultiLvlLbl val="0"/>
      </c:catAx>
      <c:valAx>
        <c:axId val="365499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5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Networking</c:v>
              </c:pt>
            </c:strLit>
          </c:cat>
          <c:val>
            <c:numLit>
              <c:formatCode>General</c:formatCode>
              <c:ptCount val="3"/>
              <c:pt idx="0">
                <c:v>48390125</c:v>
              </c:pt>
              <c:pt idx="1">
                <c:v>7639325</c:v>
              </c:pt>
              <c:pt idx="2">
                <c:v>2096000</c:v>
              </c:pt>
            </c:numLit>
          </c:val>
          <c:extLst>
            <c:ext xmlns:c16="http://schemas.microsoft.com/office/drawing/2014/chart" uri="{C3380CC4-5D6E-409C-BE32-E72D297353CC}">
              <c16:uniqueId val="{00000000-9E8B-4945-A063-5F48876AC6EE}"/>
            </c:ext>
          </c:extLst>
        </c:ser>
        <c:dLbls>
          <c:dLblPos val="outEnd"/>
          <c:showLegendKey val="0"/>
          <c:showVal val="1"/>
          <c:showCatName val="0"/>
          <c:showSerName val="0"/>
          <c:showPercent val="0"/>
          <c:showBubbleSize val="0"/>
        </c:dLbls>
        <c:gapWidth val="115"/>
        <c:overlap val="-20"/>
        <c:axId val="365500744"/>
        <c:axId val="365495648"/>
      </c:barChart>
      <c:catAx>
        <c:axId val="36550074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5648"/>
        <c:crosses val="autoZero"/>
        <c:auto val="1"/>
        <c:lblAlgn val="ctr"/>
        <c:lblOffset val="100"/>
        <c:noMultiLvlLbl val="0"/>
      </c:catAx>
      <c:valAx>
        <c:axId val="3654956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500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BA4-4559-83D2-F92B8FD67F22}"/>
              </c:ext>
            </c:extLst>
          </c:dPt>
          <c:dPt>
            <c:idx val="9"/>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BA4-4559-83D2-F92B8FD67F22}"/>
              </c:ext>
            </c:extLst>
          </c:dPt>
          <c:dLbls>
            <c:dLbl>
              <c:idx val="4"/>
              <c:layout>
                <c:manualLayout>
                  <c:x val="8.3333333333333332E-3"/>
                  <c:y val="-5.55555555555555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A4-4559-83D2-F92B8FD67F22}"/>
                </c:ext>
              </c:extLst>
            </c:dLbl>
            <c:dLbl>
              <c:idx val="9"/>
              <c:layout>
                <c:manualLayout>
                  <c:x val="-5.5555555555555558E-3"/>
                  <c:y val="-6.48148148148148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A4-4559-83D2-F92B8FD67F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4415365</c:v>
              </c:pt>
              <c:pt idx="1">
                <c:v>5650830</c:v>
              </c:pt>
              <c:pt idx="2">
                <c:v>3403615</c:v>
              </c:pt>
              <c:pt idx="3">
                <c:v>6302095</c:v>
              </c:pt>
              <c:pt idx="4">
                <c:v>6494935</c:v>
              </c:pt>
              <c:pt idx="5">
                <c:v>5515305</c:v>
              </c:pt>
              <c:pt idx="6">
                <c:v>5074720</c:v>
              </c:pt>
              <c:pt idx="7">
                <c:v>4225915</c:v>
              </c:pt>
              <c:pt idx="8">
                <c:v>2666030</c:v>
              </c:pt>
              <c:pt idx="9">
                <c:v>4241480</c:v>
              </c:pt>
              <c:pt idx="10">
                <c:v>4311375</c:v>
              </c:pt>
              <c:pt idx="11">
                <c:v>5823785</c:v>
              </c:pt>
            </c:numLit>
          </c:val>
          <c:extLst>
            <c:ext xmlns:c16="http://schemas.microsoft.com/office/drawing/2014/chart" uri="{C3380CC4-5D6E-409C-BE32-E72D297353CC}">
              <c16:uniqueId val="{00000004-3BA4-4559-83D2-F92B8FD67F22}"/>
            </c:ext>
          </c:extLst>
        </c:ser>
        <c:dLbls>
          <c:dLblPos val="outEnd"/>
          <c:showLegendKey val="0"/>
          <c:showVal val="1"/>
          <c:showCatName val="0"/>
          <c:showSerName val="0"/>
          <c:showPercent val="0"/>
          <c:showBubbleSize val="0"/>
        </c:dLbls>
        <c:gapWidth val="100"/>
        <c:overlap val="-24"/>
        <c:axId val="365496824"/>
        <c:axId val="365494472"/>
      </c:barChart>
      <c:catAx>
        <c:axId val="365496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4472"/>
        <c:crosses val="autoZero"/>
        <c:auto val="1"/>
        <c:lblAlgn val="ctr"/>
        <c:lblOffset val="100"/>
        <c:noMultiLvlLbl val="0"/>
      </c:catAx>
      <c:valAx>
        <c:axId val="365494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6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2325412590178"/>
          <c:y val="5.0925925925925923E-2"/>
          <c:w val="0.8264114730968265"/>
          <c:h val="0.8416746864975212"/>
        </c:manualLayout>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Electronics</c:v>
              </c:pt>
              <c:pt idx="1">
                <c:v>Furniture</c:v>
              </c:pt>
              <c:pt idx="2">
                <c:v>Networking</c:v>
              </c:pt>
            </c:strLit>
          </c:cat>
          <c:val>
            <c:numLit>
              <c:formatCode>General</c:formatCode>
              <c:ptCount val="3"/>
              <c:pt idx="0">
                <c:v>10561985</c:v>
              </c:pt>
              <c:pt idx="1">
                <c:v>1672525</c:v>
              </c:pt>
              <c:pt idx="2">
                <c:v>456320</c:v>
              </c:pt>
            </c:numLit>
          </c:val>
          <c:extLst>
            <c:ext xmlns:c16="http://schemas.microsoft.com/office/drawing/2014/chart" uri="{C3380CC4-5D6E-409C-BE32-E72D297353CC}">
              <c16:uniqueId val="{00000000-A344-479B-B301-50C6A0A66932}"/>
            </c:ext>
          </c:extLst>
        </c:ser>
        <c:dLbls>
          <c:showLegendKey val="0"/>
          <c:showVal val="0"/>
          <c:showCatName val="0"/>
          <c:showSerName val="0"/>
          <c:showPercent val="0"/>
          <c:showBubbleSize val="0"/>
        </c:dLbls>
        <c:gapWidth val="100"/>
        <c:overlap val="-24"/>
        <c:axId val="365497216"/>
        <c:axId val="365497608"/>
      </c:barChart>
      <c:catAx>
        <c:axId val="365497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7608"/>
        <c:crosses val="autoZero"/>
        <c:auto val="1"/>
        <c:lblAlgn val="ctr"/>
        <c:lblOffset val="100"/>
        <c:noMultiLvlLbl val="0"/>
      </c:catAx>
      <c:valAx>
        <c:axId val="365497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4972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Amit</c:v>
              </c:pt>
              <c:pt idx="1">
                <c:v>Karan</c:v>
              </c:pt>
              <c:pt idx="2">
                <c:v>Neha</c:v>
              </c:pt>
              <c:pt idx="3">
                <c:v>Priya</c:v>
              </c:pt>
              <c:pt idx="4">
                <c:v>Rahul</c:v>
              </c:pt>
              <c:pt idx="5">
                <c:v>Sneha</c:v>
              </c:pt>
            </c:strLit>
          </c:cat>
          <c:val>
            <c:numLit>
              <c:formatCode>General</c:formatCode>
              <c:ptCount val="6"/>
              <c:pt idx="0">
                <c:v>10119095</c:v>
              </c:pt>
              <c:pt idx="1">
                <c:v>11325060</c:v>
              </c:pt>
              <c:pt idx="2">
                <c:v>9230435</c:v>
              </c:pt>
              <c:pt idx="3">
                <c:v>8502800</c:v>
              </c:pt>
              <c:pt idx="4">
                <c:v>9194935</c:v>
              </c:pt>
              <c:pt idx="5">
                <c:v>9753125</c:v>
              </c:pt>
            </c:numLit>
          </c:val>
          <c:extLst>
            <c:ext xmlns:c16="http://schemas.microsoft.com/office/drawing/2014/chart" uri="{C3380CC4-5D6E-409C-BE32-E72D297353CC}">
              <c16:uniqueId val="{00000000-8698-4BDD-ADE0-097E25423DC9}"/>
            </c:ext>
          </c:extLst>
        </c:ser>
        <c:dLbls>
          <c:dLblPos val="outEnd"/>
          <c:showLegendKey val="0"/>
          <c:showVal val="1"/>
          <c:showCatName val="0"/>
          <c:showSerName val="0"/>
          <c:showPercent val="0"/>
          <c:showBubbleSize val="0"/>
        </c:dLbls>
        <c:gapWidth val="100"/>
        <c:overlap val="-24"/>
        <c:axId val="366246136"/>
        <c:axId val="366242608"/>
      </c:barChart>
      <c:catAx>
        <c:axId val="366246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42608"/>
        <c:crosses val="autoZero"/>
        <c:auto val="1"/>
        <c:lblAlgn val="ctr"/>
        <c:lblOffset val="100"/>
        <c:noMultiLvlLbl val="0"/>
      </c:catAx>
      <c:valAx>
        <c:axId val="36624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461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Amit</c:v>
              </c:pt>
              <c:pt idx="1">
                <c:v>Karan</c:v>
              </c:pt>
              <c:pt idx="2">
                <c:v>Neha</c:v>
              </c:pt>
              <c:pt idx="3">
                <c:v>Priya</c:v>
              </c:pt>
              <c:pt idx="4">
                <c:v>Rahul</c:v>
              </c:pt>
              <c:pt idx="5">
                <c:v>Sneha</c:v>
              </c:pt>
            </c:strLit>
          </c:cat>
          <c:val>
            <c:numLit>
              <c:formatCode>General</c:formatCode>
              <c:ptCount val="6"/>
              <c:pt idx="0">
                <c:v>2227295</c:v>
              </c:pt>
              <c:pt idx="1">
                <c:v>2528090</c:v>
              </c:pt>
              <c:pt idx="2">
                <c:v>2030095</c:v>
              </c:pt>
              <c:pt idx="3">
                <c:v>1848950</c:v>
              </c:pt>
              <c:pt idx="4">
                <c:v>1895965</c:v>
              </c:pt>
              <c:pt idx="5">
                <c:v>2160435</c:v>
              </c:pt>
            </c:numLit>
          </c:val>
          <c:extLst>
            <c:ext xmlns:c16="http://schemas.microsoft.com/office/drawing/2014/chart" uri="{C3380CC4-5D6E-409C-BE32-E72D297353CC}">
              <c16:uniqueId val="{00000000-963E-4F9B-A21A-38EC93CF7DCC}"/>
            </c:ext>
          </c:extLst>
        </c:ser>
        <c:dLbls>
          <c:dLblPos val="outEnd"/>
          <c:showLegendKey val="0"/>
          <c:showVal val="1"/>
          <c:showCatName val="0"/>
          <c:showSerName val="0"/>
          <c:showPercent val="0"/>
          <c:showBubbleSize val="0"/>
        </c:dLbls>
        <c:gapWidth val="100"/>
        <c:overlap val="-24"/>
        <c:axId val="366244176"/>
        <c:axId val="366239472"/>
      </c:barChart>
      <c:catAx>
        <c:axId val="366244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39472"/>
        <c:crosses val="autoZero"/>
        <c:auto val="1"/>
        <c:lblAlgn val="ctr"/>
        <c:lblOffset val="100"/>
        <c:noMultiLvlLbl val="0"/>
      </c:catAx>
      <c:valAx>
        <c:axId val="36623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4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5094306303971"/>
          <c:y val="0.13384682793283276"/>
          <c:w val="0.82686351706036743"/>
          <c:h val="0.52264253426655005"/>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Chair</c:v>
              </c:pt>
              <c:pt idx="1">
                <c:v>Headphones</c:v>
              </c:pt>
              <c:pt idx="2">
                <c:v>Keyboard</c:v>
              </c:pt>
              <c:pt idx="3">
                <c:v>Laptop</c:v>
              </c:pt>
              <c:pt idx="4">
                <c:v>Mouse</c:v>
              </c:pt>
              <c:pt idx="5">
                <c:v>Printer</c:v>
              </c:pt>
              <c:pt idx="6">
                <c:v>Router</c:v>
              </c:pt>
              <c:pt idx="7">
                <c:v>Table</c:v>
              </c:pt>
            </c:strLit>
          </c:cat>
          <c:val>
            <c:numLit>
              <c:formatCode>General</c:formatCode>
              <c:ptCount val="8"/>
              <c:pt idx="0">
                <c:v>1961325</c:v>
              </c:pt>
              <c:pt idx="1">
                <c:v>1917300</c:v>
              </c:pt>
              <c:pt idx="2">
                <c:v>1045725</c:v>
              </c:pt>
              <c:pt idx="3">
                <c:v>39341500</c:v>
              </c:pt>
              <c:pt idx="4">
                <c:v>537600</c:v>
              </c:pt>
              <c:pt idx="5">
                <c:v>5548000</c:v>
              </c:pt>
              <c:pt idx="6">
                <c:v>2096000</c:v>
              </c:pt>
              <c:pt idx="7">
                <c:v>5678000</c:v>
              </c:pt>
            </c:numLit>
          </c:val>
          <c:extLst>
            <c:ext xmlns:c16="http://schemas.microsoft.com/office/drawing/2014/chart" uri="{C3380CC4-5D6E-409C-BE32-E72D297353CC}">
              <c16:uniqueId val="{00000000-D915-483F-B841-D9BCC2F2C323}"/>
            </c:ext>
          </c:extLst>
        </c:ser>
        <c:dLbls>
          <c:dLblPos val="outEnd"/>
          <c:showLegendKey val="0"/>
          <c:showVal val="1"/>
          <c:showCatName val="0"/>
          <c:showSerName val="0"/>
          <c:showPercent val="0"/>
          <c:showBubbleSize val="0"/>
        </c:dLbls>
        <c:gapWidth val="100"/>
        <c:overlap val="-24"/>
        <c:axId val="368810136"/>
        <c:axId val="368813664"/>
      </c:barChart>
      <c:catAx>
        <c:axId val="368810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3664"/>
        <c:crosses val="autoZero"/>
        <c:auto val="1"/>
        <c:lblAlgn val="ctr"/>
        <c:lblOffset val="100"/>
        <c:noMultiLvlLbl val="0"/>
      </c:catAx>
      <c:valAx>
        <c:axId val="368813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01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Networking</c:v>
              </c:pt>
            </c:strLit>
          </c:cat>
          <c:val>
            <c:numLit>
              <c:formatCode>General</c:formatCode>
              <c:ptCount val="3"/>
              <c:pt idx="0">
                <c:v>48390125</c:v>
              </c:pt>
              <c:pt idx="1">
                <c:v>7639325</c:v>
              </c:pt>
              <c:pt idx="2">
                <c:v>2096000</c:v>
              </c:pt>
            </c:numLit>
          </c:val>
          <c:extLst>
            <c:ext xmlns:c16="http://schemas.microsoft.com/office/drawing/2014/chart" uri="{C3380CC4-5D6E-409C-BE32-E72D297353CC}">
              <c16:uniqueId val="{00000000-25C3-4707-8991-8AFA71930527}"/>
            </c:ext>
          </c:extLst>
        </c:ser>
        <c:dLbls>
          <c:dLblPos val="outEnd"/>
          <c:showLegendKey val="0"/>
          <c:showVal val="1"/>
          <c:showCatName val="0"/>
          <c:showSerName val="0"/>
          <c:showPercent val="0"/>
          <c:showBubbleSize val="0"/>
        </c:dLbls>
        <c:gapWidth val="115"/>
        <c:overlap val="-20"/>
        <c:axId val="368814840"/>
        <c:axId val="368811312"/>
      </c:barChart>
      <c:catAx>
        <c:axId val="36881484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1312"/>
        <c:crosses val="autoZero"/>
        <c:auto val="1"/>
        <c:lblAlgn val="ctr"/>
        <c:lblOffset val="100"/>
        <c:noMultiLvlLbl val="0"/>
      </c:catAx>
      <c:valAx>
        <c:axId val="3688113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48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5.5555555555555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55555555555555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E8BC-4311-9F73-222C872DC862}"/>
              </c:ext>
            </c:extLst>
          </c:dPt>
          <c:dPt>
            <c:idx val="9"/>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8BC-4311-9F73-222C872DC862}"/>
              </c:ext>
            </c:extLst>
          </c:dPt>
          <c:dLbls>
            <c:dLbl>
              <c:idx val="4"/>
              <c:layout>
                <c:manualLayout>
                  <c:x val="8.3333333333333332E-3"/>
                  <c:y val="-5.55555555555555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BC-4311-9F73-222C872DC862}"/>
                </c:ext>
              </c:extLst>
            </c:dLbl>
            <c:dLbl>
              <c:idx val="9"/>
              <c:layout>
                <c:manualLayout>
                  <c:x val="-5.5555555555555558E-3"/>
                  <c:y val="-6.48148148148148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BC-4311-9F73-222C872DC8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4415365</c:v>
              </c:pt>
              <c:pt idx="1">
                <c:v>5650830</c:v>
              </c:pt>
              <c:pt idx="2">
                <c:v>3403615</c:v>
              </c:pt>
              <c:pt idx="3">
                <c:v>6302095</c:v>
              </c:pt>
              <c:pt idx="4">
                <c:v>6494935</c:v>
              </c:pt>
              <c:pt idx="5">
                <c:v>5515305</c:v>
              </c:pt>
              <c:pt idx="6">
                <c:v>5074720</c:v>
              </c:pt>
              <c:pt idx="7">
                <c:v>4225915</c:v>
              </c:pt>
              <c:pt idx="8">
                <c:v>2666030</c:v>
              </c:pt>
              <c:pt idx="9">
                <c:v>4241480</c:v>
              </c:pt>
              <c:pt idx="10">
                <c:v>4311375</c:v>
              </c:pt>
              <c:pt idx="11">
                <c:v>5823785</c:v>
              </c:pt>
            </c:numLit>
          </c:val>
          <c:extLst>
            <c:ext xmlns:c16="http://schemas.microsoft.com/office/drawing/2014/chart" uri="{C3380CC4-5D6E-409C-BE32-E72D297353CC}">
              <c16:uniqueId val="{00000002-E8BC-4311-9F73-222C872DC862}"/>
            </c:ext>
          </c:extLst>
        </c:ser>
        <c:dLbls>
          <c:dLblPos val="outEnd"/>
          <c:showLegendKey val="0"/>
          <c:showVal val="1"/>
          <c:showCatName val="0"/>
          <c:showSerName val="0"/>
          <c:showPercent val="0"/>
          <c:showBubbleSize val="0"/>
        </c:dLbls>
        <c:gapWidth val="100"/>
        <c:overlap val="-24"/>
        <c:axId val="368815232"/>
        <c:axId val="368808568"/>
      </c:barChart>
      <c:catAx>
        <c:axId val="368815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08568"/>
        <c:crosses val="autoZero"/>
        <c:auto val="1"/>
        <c:lblAlgn val="ctr"/>
        <c:lblOffset val="100"/>
        <c:noMultiLvlLbl val="0"/>
      </c:catAx>
      <c:valAx>
        <c:axId val="368808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52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2325412590178"/>
          <c:y val="5.0925925925925923E-2"/>
          <c:w val="0.8264114730968265"/>
          <c:h val="0.8416746864975212"/>
        </c:manualLayout>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3"/>
              <c:pt idx="0">
                <c:v>Electronics</c:v>
              </c:pt>
              <c:pt idx="1">
                <c:v>Furniture</c:v>
              </c:pt>
              <c:pt idx="2">
                <c:v>Networking</c:v>
              </c:pt>
            </c:strLit>
          </c:cat>
          <c:val>
            <c:numLit>
              <c:formatCode>General</c:formatCode>
              <c:ptCount val="3"/>
              <c:pt idx="0">
                <c:v>10561985</c:v>
              </c:pt>
              <c:pt idx="1">
                <c:v>1672525</c:v>
              </c:pt>
              <c:pt idx="2">
                <c:v>456320</c:v>
              </c:pt>
            </c:numLit>
          </c:val>
          <c:extLst>
            <c:ext xmlns:c16="http://schemas.microsoft.com/office/drawing/2014/chart" uri="{C3380CC4-5D6E-409C-BE32-E72D297353CC}">
              <c16:uniqueId val="{00000000-3D68-43B7-81D8-1D939108901E}"/>
            </c:ext>
          </c:extLst>
        </c:ser>
        <c:dLbls>
          <c:showLegendKey val="0"/>
          <c:showVal val="0"/>
          <c:showCatName val="0"/>
          <c:showSerName val="0"/>
          <c:showPercent val="0"/>
          <c:showBubbleSize val="0"/>
        </c:dLbls>
        <c:gapWidth val="100"/>
        <c:overlap val="-24"/>
        <c:axId val="368809744"/>
        <c:axId val="368810528"/>
      </c:barChart>
      <c:catAx>
        <c:axId val="368809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0528"/>
        <c:crosses val="autoZero"/>
        <c:auto val="1"/>
        <c:lblAlgn val="ctr"/>
        <c:lblOffset val="100"/>
        <c:noMultiLvlLbl val="0"/>
      </c:catAx>
      <c:valAx>
        <c:axId val="368810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09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hyperlink" Target="#'new deshboard'!A1"/><Relationship Id="rId6" Type="http://schemas.openxmlformats.org/officeDocument/2006/relationships/hyperlink" Target="#'final deshboard'!A1"/><Relationship Id="rId5" Type="http://schemas.openxmlformats.org/officeDocument/2006/relationships/chart" Target="../charts/chart9.xml"/><Relationship Id="rId10" Type="http://schemas.openxmlformats.org/officeDocument/2006/relationships/hyperlink" Target="https://svgsilh.com/image/1341370.html" TargetMode="External"/><Relationship Id="rId4" Type="http://schemas.openxmlformats.org/officeDocument/2006/relationships/chart" Target="../charts/chart8.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3.xml"/><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hyperlink" Target="#'new deshboard'!A1"/><Relationship Id="rId6" Type="http://schemas.openxmlformats.org/officeDocument/2006/relationships/hyperlink" Target="#'final deshboard'!A1"/><Relationship Id="rId11" Type="http://schemas.openxmlformats.org/officeDocument/2006/relationships/hyperlink" Target="#'Region_ Sale deshboard'!A1"/><Relationship Id="rId5" Type="http://schemas.openxmlformats.org/officeDocument/2006/relationships/chart" Target="../charts/chart15.xml"/><Relationship Id="rId10" Type="http://schemas.openxmlformats.org/officeDocument/2006/relationships/hyperlink" Target="https://freepngimg.com/png/27547-business-people" TargetMode="External"/><Relationship Id="rId4" Type="http://schemas.openxmlformats.org/officeDocument/2006/relationships/chart" Target="../charts/chart14.xml"/><Relationship Id="rId9"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Region_ Sale deshboard'!A1"/><Relationship Id="rId3" Type="http://schemas.openxmlformats.org/officeDocument/2006/relationships/chart" Target="../charts/chart20.xml"/><Relationship Id="rId7" Type="http://schemas.openxmlformats.org/officeDocument/2006/relationships/hyperlink" Target="#'Sale_Person Deshboard'!A1"/><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hyperlink" Target="#'final deshboard'!A1"/><Relationship Id="rId5" Type="http://schemas.openxmlformats.org/officeDocument/2006/relationships/hyperlink" Target="#'new deshboard'!A1"/><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600075</xdr:colOff>
      <xdr:row>1</xdr:row>
      <xdr:rowOff>14287</xdr:rowOff>
    </xdr:from>
    <xdr:to>
      <xdr:col>10</xdr:col>
      <xdr:colOff>295275</xdr:colOff>
      <xdr:row>15</xdr:row>
      <xdr:rowOff>90487</xdr:rowOff>
    </xdr:to>
    <xdr:graphicFrame macro="">
      <xdr:nvGraphicFramePr>
        <xdr:cNvPr id="2" name="Chart 1">
          <a:extLst>
            <a:ext uri="{FF2B5EF4-FFF2-40B4-BE49-F238E27FC236}">
              <a16:creationId xmlns:a16="http://schemas.microsoft.com/office/drawing/2014/main" id="{1EEF6C1D-8102-CE47-2B99-EEBBFF53A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15</xdr:row>
      <xdr:rowOff>176212</xdr:rowOff>
    </xdr:from>
    <xdr:to>
      <xdr:col>10</xdr:col>
      <xdr:colOff>314325</xdr:colOff>
      <xdr:row>30</xdr:row>
      <xdr:rowOff>61912</xdr:rowOff>
    </xdr:to>
    <xdr:graphicFrame macro="">
      <xdr:nvGraphicFramePr>
        <xdr:cNvPr id="3" name="Chart 2">
          <a:extLst>
            <a:ext uri="{FF2B5EF4-FFF2-40B4-BE49-F238E27FC236}">
              <a16:creationId xmlns:a16="http://schemas.microsoft.com/office/drawing/2014/main" id="{2AC1D86D-9CE1-C8D3-E0EB-E0D3330B2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xdr:colOff>
      <xdr:row>0</xdr:row>
      <xdr:rowOff>176212</xdr:rowOff>
    </xdr:from>
    <xdr:to>
      <xdr:col>18</xdr:col>
      <xdr:colOff>47625</xdr:colOff>
      <xdr:row>15</xdr:row>
      <xdr:rowOff>61912</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174851</xdr:colOff>
      <xdr:row>2</xdr:row>
      <xdr:rowOff>74719</xdr:rowOff>
    </xdr:from>
    <xdr:to>
      <xdr:col>22</xdr:col>
      <xdr:colOff>164911</xdr:colOff>
      <xdr:row>15</xdr:row>
      <xdr:rowOff>122344</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059886" y="450353"/>
              <a:ext cx="1801152" cy="2489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148911</xdr:colOff>
      <xdr:row>15</xdr:row>
      <xdr:rowOff>177888</xdr:rowOff>
    </xdr:from>
    <xdr:to>
      <xdr:col>18</xdr:col>
      <xdr:colOff>226720</xdr:colOff>
      <xdr:row>30</xdr:row>
      <xdr:rowOff>103835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55002</xdr:colOff>
      <xdr:row>32</xdr:row>
      <xdr:rowOff>70563</xdr:rowOff>
    </xdr:from>
    <xdr:to>
      <xdr:col>10</xdr:col>
      <xdr:colOff>93907</xdr:colOff>
      <xdr:row>49</xdr:row>
      <xdr:rowOff>160985</xdr:rowOff>
    </xdr:to>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31526</xdr:colOff>
      <xdr:row>2</xdr:row>
      <xdr:rowOff>6171</xdr:rowOff>
    </xdr:from>
    <xdr:to>
      <xdr:col>26</xdr:col>
      <xdr:colOff>49235</xdr:colOff>
      <xdr:row>15</xdr:row>
      <xdr:rowOff>88676</xdr:rowOff>
    </xdr:to>
    <mc:AlternateContent xmlns:mc="http://schemas.openxmlformats.org/markup-compatibility/2006" xmlns:a14="http://schemas.microsoft.com/office/drawing/2010/main">
      <mc:Choice Requires="a14">
        <xdr:graphicFrame macro="">
          <xdr:nvGraphicFramePr>
            <xdr:cNvPr id="18" name="Salesperson">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6331350" y="38180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39684</xdr:colOff>
      <xdr:row>0</xdr:row>
      <xdr:rowOff>190012</xdr:rowOff>
    </xdr:from>
    <xdr:to>
      <xdr:col>32</xdr:col>
      <xdr:colOff>607749</xdr:colOff>
      <xdr:row>40</xdr:row>
      <xdr:rowOff>157006</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B6790DE-EE4F-4F19-9062-157E916BAE38}"/>
            </a:ext>
          </a:extLst>
        </xdr:cNvPr>
        <xdr:cNvSpPr/>
      </xdr:nvSpPr>
      <xdr:spPr>
        <a:xfrm>
          <a:off x="649284" y="190012"/>
          <a:ext cx="19465665" cy="8215644"/>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60000"/>
                <a:lumOff val="40000"/>
              </a:schemeClr>
            </a:solidFill>
          </a:endParaRPr>
        </a:p>
      </xdr:txBody>
    </xdr:sp>
    <xdr:clientData/>
  </xdr:twoCellAnchor>
  <xdr:twoCellAnchor>
    <xdr:from>
      <xdr:col>4</xdr:col>
      <xdr:colOff>500289</xdr:colOff>
      <xdr:row>2</xdr:row>
      <xdr:rowOff>22679</xdr:rowOff>
    </xdr:from>
    <xdr:to>
      <xdr:col>32</xdr:col>
      <xdr:colOff>459828</xdr:colOff>
      <xdr:row>40</xdr:row>
      <xdr:rowOff>34018</xdr:rowOff>
    </xdr:to>
    <xdr:sp macro="" textlink="">
      <xdr:nvSpPr>
        <xdr:cNvPr id="3" name="Rectangle 2">
          <a:extLst>
            <a:ext uri="{FF2B5EF4-FFF2-40B4-BE49-F238E27FC236}">
              <a16:creationId xmlns:a16="http://schemas.microsoft.com/office/drawing/2014/main" id="{4EF8092F-9415-4EA3-A591-48B850A45B46}"/>
            </a:ext>
          </a:extLst>
        </xdr:cNvPr>
        <xdr:cNvSpPr/>
      </xdr:nvSpPr>
      <xdr:spPr>
        <a:xfrm>
          <a:off x="2938689" y="403679"/>
          <a:ext cx="17028339" cy="7878989"/>
        </a:xfrm>
        <a:prstGeom prst="rect">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578304</xdr:colOff>
      <xdr:row>2</xdr:row>
      <xdr:rowOff>124732</xdr:rowOff>
    </xdr:from>
    <xdr:to>
      <xdr:col>9</xdr:col>
      <xdr:colOff>340179</xdr:colOff>
      <xdr:row>8</xdr:row>
      <xdr:rowOff>102054</xdr:rowOff>
    </xdr:to>
    <xdr:sp macro="" textlink="">
      <xdr:nvSpPr>
        <xdr:cNvPr id="4" name="Rectangle: Rounded Corners 3">
          <a:extLst>
            <a:ext uri="{FF2B5EF4-FFF2-40B4-BE49-F238E27FC236}">
              <a16:creationId xmlns:a16="http://schemas.microsoft.com/office/drawing/2014/main" id="{34C92F15-68BC-44B5-8456-5A230F89226D}"/>
            </a:ext>
          </a:extLst>
        </xdr:cNvPr>
        <xdr:cNvSpPr/>
      </xdr:nvSpPr>
      <xdr:spPr>
        <a:xfrm>
          <a:off x="3016704" y="505732"/>
          <a:ext cx="2809875" cy="1234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TOTAL</a:t>
          </a:r>
          <a:r>
            <a:rPr lang="en-IN" sz="2000" baseline="0">
              <a:latin typeface="Amasis MT Pro Black" panose="02040A04050005020304" pitchFamily="18" charset="0"/>
            </a:rPr>
            <a:t> SALE</a:t>
          </a:r>
          <a:endParaRPr lang="en-IN" sz="2000">
            <a:latin typeface="Amasis MT Pro Black" panose="02040A04050005020304" pitchFamily="18" charset="0"/>
          </a:endParaRPr>
        </a:p>
      </xdr:txBody>
    </xdr:sp>
    <xdr:clientData/>
  </xdr:twoCellAnchor>
  <xdr:twoCellAnchor>
    <xdr:from>
      <xdr:col>9</xdr:col>
      <xdr:colOff>488950</xdr:colOff>
      <xdr:row>2</xdr:row>
      <xdr:rowOff>136072</xdr:rowOff>
    </xdr:from>
    <xdr:to>
      <xdr:col>14</xdr:col>
      <xdr:colOff>250825</xdr:colOff>
      <xdr:row>8</xdr:row>
      <xdr:rowOff>113394</xdr:rowOff>
    </xdr:to>
    <xdr:sp macro="" textlink="">
      <xdr:nvSpPr>
        <xdr:cNvPr id="5" name="Rectangle: Rounded Corners 4">
          <a:extLst>
            <a:ext uri="{FF2B5EF4-FFF2-40B4-BE49-F238E27FC236}">
              <a16:creationId xmlns:a16="http://schemas.microsoft.com/office/drawing/2014/main" id="{4041E867-2563-4EDE-A887-D6474BC9029B}"/>
            </a:ext>
          </a:extLst>
        </xdr:cNvPr>
        <xdr:cNvSpPr/>
      </xdr:nvSpPr>
      <xdr:spPr>
        <a:xfrm>
          <a:off x="5975350" y="517072"/>
          <a:ext cx="2809875" cy="1234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PROFIT</a:t>
          </a:r>
        </a:p>
      </xdr:txBody>
    </xdr:sp>
    <xdr:clientData/>
  </xdr:twoCellAnchor>
  <xdr:twoCellAnchor>
    <xdr:from>
      <xdr:col>4</xdr:col>
      <xdr:colOff>566965</xdr:colOff>
      <xdr:row>10</xdr:row>
      <xdr:rowOff>136072</xdr:rowOff>
    </xdr:from>
    <xdr:to>
      <xdr:col>14</xdr:col>
      <xdr:colOff>262759</xdr:colOff>
      <xdr:row>39</xdr:row>
      <xdr:rowOff>113394</xdr:rowOff>
    </xdr:to>
    <xdr:sp macro="" textlink="">
      <xdr:nvSpPr>
        <xdr:cNvPr id="6" name="Rectangle 5">
          <a:extLst>
            <a:ext uri="{FF2B5EF4-FFF2-40B4-BE49-F238E27FC236}">
              <a16:creationId xmlns:a16="http://schemas.microsoft.com/office/drawing/2014/main" id="{92CD227F-DBD6-4DDF-B558-59D9424DDC48}"/>
            </a:ext>
          </a:extLst>
        </xdr:cNvPr>
        <xdr:cNvSpPr/>
      </xdr:nvSpPr>
      <xdr:spPr>
        <a:xfrm>
          <a:off x="3005365" y="2193472"/>
          <a:ext cx="5791794" cy="597807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119647</xdr:colOff>
      <xdr:row>12</xdr:row>
      <xdr:rowOff>101662</xdr:rowOff>
    </xdr:from>
    <xdr:to>
      <xdr:col>14</xdr:col>
      <xdr:colOff>85481</xdr:colOff>
      <xdr:row>25</xdr:row>
      <xdr:rowOff>158359</xdr:rowOff>
    </xdr:to>
    <xdr:graphicFrame macro="">
      <xdr:nvGraphicFramePr>
        <xdr:cNvPr id="7" name="Chart 6">
          <a:extLst>
            <a:ext uri="{FF2B5EF4-FFF2-40B4-BE49-F238E27FC236}">
              <a16:creationId xmlns:a16="http://schemas.microsoft.com/office/drawing/2014/main" id="{79F49589-C065-4898-8056-019AADB8F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340178</xdr:colOff>
      <xdr:row>3</xdr:row>
      <xdr:rowOff>11340</xdr:rowOff>
    </xdr:from>
    <xdr:to>
      <xdr:col>20</xdr:col>
      <xdr:colOff>207281</xdr:colOff>
      <xdr:row>7</xdr:row>
      <xdr:rowOff>37147</xdr:rowOff>
    </xdr:to>
    <mc:AlternateContent xmlns:mc="http://schemas.openxmlformats.org/markup-compatibility/2006" xmlns:a14="http://schemas.microsoft.com/office/drawing/2010/main">
      <mc:Choice Requires="a14">
        <xdr:graphicFrame macro="">
          <xdr:nvGraphicFramePr>
            <xdr:cNvPr id="8" name="Product Name 4">
              <a:extLst>
                <a:ext uri="{FF2B5EF4-FFF2-40B4-BE49-F238E27FC236}">
                  <a16:creationId xmlns:a16="http://schemas.microsoft.com/office/drawing/2014/main" id="{2E558283-D4D2-402E-8C45-2F127C07737D}"/>
                </a:ext>
              </a:extLst>
            </xdr:cNvPr>
            <xdr:cNvGraphicFramePr/>
          </xdr:nvGraphicFramePr>
          <xdr:xfrm>
            <a:off x="0" y="0"/>
            <a:ext cx="0" cy="0"/>
          </xdr:xfrm>
          <a:graphic>
            <a:graphicData uri="http://schemas.microsoft.com/office/drawing/2010/slicer">
              <sle:slicer xmlns:sle="http://schemas.microsoft.com/office/drawing/2010/slicer" name="Product Name 4"/>
            </a:graphicData>
          </a:graphic>
        </xdr:graphicFrame>
      </mc:Choice>
      <mc:Fallback xmlns="">
        <xdr:sp macro="" textlink="">
          <xdr:nvSpPr>
            <xdr:cNvPr id="0" name=""/>
            <xdr:cNvSpPr>
              <a:spLocks noTextEdit="1"/>
            </xdr:cNvSpPr>
          </xdr:nvSpPr>
          <xdr:spPr>
            <a:xfrm>
              <a:off x="8888255" y="609705"/>
              <a:ext cx="3530564" cy="856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578302</xdr:colOff>
      <xdr:row>10</xdr:row>
      <xdr:rowOff>147412</xdr:rowOff>
    </xdr:from>
    <xdr:to>
      <xdr:col>11</xdr:col>
      <xdr:colOff>510267</xdr:colOff>
      <xdr:row>12</xdr:row>
      <xdr:rowOff>11341</xdr:rowOff>
    </xdr:to>
    <xdr:sp macro="" textlink="">
      <xdr:nvSpPr>
        <xdr:cNvPr id="9" name="TextBox 8">
          <a:extLst>
            <a:ext uri="{FF2B5EF4-FFF2-40B4-BE49-F238E27FC236}">
              <a16:creationId xmlns:a16="http://schemas.microsoft.com/office/drawing/2014/main" id="{7A8ADFE3-0FD8-4B01-B969-F68B456285A7}"/>
            </a:ext>
          </a:extLst>
        </xdr:cNvPr>
        <xdr:cNvSpPr txBox="1"/>
      </xdr:nvSpPr>
      <xdr:spPr>
        <a:xfrm>
          <a:off x="3016702" y="2204812"/>
          <a:ext cx="4199165" cy="28302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                       PRODUCT VS SALES</a:t>
          </a:r>
        </a:p>
      </xdr:txBody>
    </xdr:sp>
    <xdr:clientData/>
  </xdr:twoCellAnchor>
  <xdr:twoCellAnchor>
    <xdr:from>
      <xdr:col>5</xdr:col>
      <xdr:colOff>131771</xdr:colOff>
      <xdr:row>27</xdr:row>
      <xdr:rowOff>136855</xdr:rowOff>
    </xdr:from>
    <xdr:to>
      <xdr:col>14</xdr:col>
      <xdr:colOff>142328</xdr:colOff>
      <xdr:row>38</xdr:row>
      <xdr:rowOff>164225</xdr:rowOff>
    </xdr:to>
    <xdr:graphicFrame macro="">
      <xdr:nvGraphicFramePr>
        <xdr:cNvPr id="10" name="Chart 9">
          <a:extLst>
            <a:ext uri="{FF2B5EF4-FFF2-40B4-BE49-F238E27FC236}">
              <a16:creationId xmlns:a16="http://schemas.microsoft.com/office/drawing/2014/main" id="{A0878244-1C80-452C-8A9E-DE9E6B438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341539</xdr:colOff>
      <xdr:row>7</xdr:row>
      <xdr:rowOff>181430</xdr:rowOff>
    </xdr:from>
    <xdr:to>
      <xdr:col>20</xdr:col>
      <xdr:colOff>239485</xdr:colOff>
      <xdr:row>10</xdr:row>
      <xdr:rowOff>197070</xdr:rowOff>
    </xdr:to>
    <mc:AlternateContent xmlns:mc="http://schemas.openxmlformats.org/markup-compatibility/2006" xmlns:a14="http://schemas.microsoft.com/office/drawing/2010/main">
      <mc:Choice Requires="a14">
        <xdr:graphicFrame macro="">
          <xdr:nvGraphicFramePr>
            <xdr:cNvPr id="11" name="Category 7">
              <a:extLst>
                <a:ext uri="{FF2B5EF4-FFF2-40B4-BE49-F238E27FC236}">
                  <a16:creationId xmlns:a16="http://schemas.microsoft.com/office/drawing/2014/main" id="{DD05E211-D1D3-46F9-9DC6-7E0F6B62B4CA}"/>
                </a:ext>
              </a:extLst>
            </xdr:cNvPr>
            <xdr:cNvGraphicFramePr/>
          </xdr:nvGraphicFramePr>
          <xdr:xfrm>
            <a:off x="0" y="0"/>
            <a:ext cx="0" cy="0"/>
          </xdr:xfrm>
          <a:graphic>
            <a:graphicData uri="http://schemas.microsoft.com/office/drawing/2010/slicer">
              <sle:slicer xmlns:sle="http://schemas.microsoft.com/office/drawing/2010/slicer" name="Category 7"/>
            </a:graphicData>
          </a:graphic>
        </xdr:graphicFrame>
      </mc:Choice>
      <mc:Fallback xmlns="">
        <xdr:sp macro="" textlink="">
          <xdr:nvSpPr>
            <xdr:cNvPr id="0" name=""/>
            <xdr:cNvSpPr>
              <a:spLocks noTextEdit="1"/>
            </xdr:cNvSpPr>
          </xdr:nvSpPr>
          <xdr:spPr>
            <a:xfrm>
              <a:off x="8889616" y="1610180"/>
              <a:ext cx="3561407" cy="638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464910</xdr:colOff>
      <xdr:row>25</xdr:row>
      <xdr:rowOff>170089</xdr:rowOff>
    </xdr:from>
    <xdr:to>
      <xdr:col>12</xdr:col>
      <xdr:colOff>204107</xdr:colOff>
      <xdr:row>27</xdr:row>
      <xdr:rowOff>98534</xdr:rowOff>
    </xdr:to>
    <xdr:sp macro="" textlink="">
      <xdr:nvSpPr>
        <xdr:cNvPr id="12" name="TextBox 11">
          <a:extLst>
            <a:ext uri="{FF2B5EF4-FFF2-40B4-BE49-F238E27FC236}">
              <a16:creationId xmlns:a16="http://schemas.microsoft.com/office/drawing/2014/main" id="{1C1059E4-5FC7-45B6-9590-D5E73C43BBEC}"/>
            </a:ext>
          </a:extLst>
        </xdr:cNvPr>
        <xdr:cNvSpPr txBox="1"/>
      </xdr:nvSpPr>
      <xdr:spPr>
        <a:xfrm>
          <a:off x="4122510" y="5370739"/>
          <a:ext cx="3396797" cy="34754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     CATEGORY VS SALES</a:t>
          </a:r>
        </a:p>
      </xdr:txBody>
    </xdr:sp>
    <xdr:clientData/>
  </xdr:twoCellAnchor>
  <xdr:twoCellAnchor>
    <xdr:from>
      <xdr:col>14</xdr:col>
      <xdr:colOff>426984</xdr:colOff>
      <xdr:row>12</xdr:row>
      <xdr:rowOff>43793</xdr:rowOff>
    </xdr:from>
    <xdr:to>
      <xdr:col>26</xdr:col>
      <xdr:colOff>437932</xdr:colOff>
      <xdr:row>39</xdr:row>
      <xdr:rowOff>87586</xdr:rowOff>
    </xdr:to>
    <xdr:sp macro="" textlink="">
      <xdr:nvSpPr>
        <xdr:cNvPr id="13" name="Rectangle 12">
          <a:extLst>
            <a:ext uri="{FF2B5EF4-FFF2-40B4-BE49-F238E27FC236}">
              <a16:creationId xmlns:a16="http://schemas.microsoft.com/office/drawing/2014/main" id="{0F483F19-9409-4997-8832-6E8D607E126D}"/>
            </a:ext>
          </a:extLst>
        </xdr:cNvPr>
        <xdr:cNvSpPr/>
      </xdr:nvSpPr>
      <xdr:spPr>
        <a:xfrm>
          <a:off x="8961384" y="2520293"/>
          <a:ext cx="7326148" cy="56254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54741</xdr:colOff>
      <xdr:row>14</xdr:row>
      <xdr:rowOff>153274</xdr:rowOff>
    </xdr:from>
    <xdr:to>
      <xdr:col>26</xdr:col>
      <xdr:colOff>229913</xdr:colOff>
      <xdr:row>38</xdr:row>
      <xdr:rowOff>131379</xdr:rowOff>
    </xdr:to>
    <xdr:graphicFrame macro="">
      <xdr:nvGraphicFramePr>
        <xdr:cNvPr id="14" name="Chart 13">
          <a:extLst>
            <a:ext uri="{FF2B5EF4-FFF2-40B4-BE49-F238E27FC236}">
              <a16:creationId xmlns:a16="http://schemas.microsoft.com/office/drawing/2014/main" id="{9C65BBB0-F552-45CA-A5B8-27A0A5708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336065</xdr:colOff>
      <xdr:row>3</xdr:row>
      <xdr:rowOff>22679</xdr:rowOff>
    </xdr:from>
    <xdr:to>
      <xdr:col>29</xdr:col>
      <xdr:colOff>133084</xdr:colOff>
      <xdr:row>10</xdr:row>
      <xdr:rowOff>87587</xdr:rowOff>
    </xdr:to>
    <mc:AlternateContent xmlns:mc="http://schemas.openxmlformats.org/markup-compatibility/2006" xmlns:a14="http://schemas.microsoft.com/office/drawing/2010/main">
      <mc:Choice Requires="a14">
        <xdr:graphicFrame macro="">
          <xdr:nvGraphicFramePr>
            <xdr:cNvPr id="15" name="Month 5">
              <a:extLst>
                <a:ext uri="{FF2B5EF4-FFF2-40B4-BE49-F238E27FC236}">
                  <a16:creationId xmlns:a16="http://schemas.microsoft.com/office/drawing/2014/main" id="{FF9E19A5-23CC-4143-929C-BDFC5E8F7671}"/>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2547603" y="621044"/>
              <a:ext cx="5292212" cy="1518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109482</xdr:colOff>
      <xdr:row>12</xdr:row>
      <xdr:rowOff>142328</xdr:rowOff>
    </xdr:from>
    <xdr:to>
      <xdr:col>24</xdr:col>
      <xdr:colOff>547412</xdr:colOff>
      <xdr:row>14</xdr:row>
      <xdr:rowOff>87585</xdr:rowOff>
    </xdr:to>
    <xdr:sp macro="" textlink="">
      <xdr:nvSpPr>
        <xdr:cNvPr id="16" name="TextBox 15">
          <a:extLst>
            <a:ext uri="{FF2B5EF4-FFF2-40B4-BE49-F238E27FC236}">
              <a16:creationId xmlns:a16="http://schemas.microsoft.com/office/drawing/2014/main" id="{8BCBB095-4D51-4356-96F4-C44E6EC443F4}"/>
            </a:ext>
          </a:extLst>
        </xdr:cNvPr>
        <xdr:cNvSpPr txBox="1"/>
      </xdr:nvSpPr>
      <xdr:spPr>
        <a:xfrm>
          <a:off x="9863082" y="2618828"/>
          <a:ext cx="5314730" cy="36435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masis MT Pro Black" panose="02040A04050005020304" pitchFamily="18" charset="0"/>
            </a:rPr>
            <a:t>MONTH VS SALES</a:t>
          </a:r>
        </a:p>
      </xdr:txBody>
    </xdr:sp>
    <xdr:clientData/>
  </xdr:twoCellAnchor>
  <xdr:twoCellAnchor>
    <xdr:from>
      <xdr:col>26</xdr:col>
      <xdr:colOff>591208</xdr:colOff>
      <xdr:row>12</xdr:row>
      <xdr:rowOff>54742</xdr:rowOff>
    </xdr:from>
    <xdr:to>
      <xdr:col>32</xdr:col>
      <xdr:colOff>339398</xdr:colOff>
      <xdr:row>39</xdr:row>
      <xdr:rowOff>76638</xdr:rowOff>
    </xdr:to>
    <xdr:sp macro="" textlink="">
      <xdr:nvSpPr>
        <xdr:cNvPr id="17" name="Rectangle 16">
          <a:extLst>
            <a:ext uri="{FF2B5EF4-FFF2-40B4-BE49-F238E27FC236}">
              <a16:creationId xmlns:a16="http://schemas.microsoft.com/office/drawing/2014/main" id="{DA680054-BA66-4681-BF73-2AF86D57A035}"/>
            </a:ext>
          </a:extLst>
        </xdr:cNvPr>
        <xdr:cNvSpPr/>
      </xdr:nvSpPr>
      <xdr:spPr>
        <a:xfrm>
          <a:off x="16440808" y="2531242"/>
          <a:ext cx="3405790" cy="56035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87586</xdr:colOff>
      <xdr:row>14</xdr:row>
      <xdr:rowOff>131379</xdr:rowOff>
    </xdr:from>
    <xdr:to>
      <xdr:col>32</xdr:col>
      <xdr:colOff>244230</xdr:colOff>
      <xdr:row>38</xdr:row>
      <xdr:rowOff>142329</xdr:rowOff>
    </xdr:to>
    <xdr:graphicFrame macro="">
      <xdr:nvGraphicFramePr>
        <xdr:cNvPr id="18" name="Chart 17">
          <a:extLst>
            <a:ext uri="{FF2B5EF4-FFF2-40B4-BE49-F238E27FC236}">
              <a16:creationId xmlns:a16="http://schemas.microsoft.com/office/drawing/2014/main" id="{6D1CB6AE-8039-4679-A6D2-74581A7AA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303221</xdr:colOff>
      <xdr:row>3</xdr:row>
      <xdr:rowOff>22679</xdr:rowOff>
    </xdr:from>
    <xdr:to>
      <xdr:col>32</xdr:col>
      <xdr:colOff>292711</xdr:colOff>
      <xdr:row>10</xdr:row>
      <xdr:rowOff>100084</xdr:rowOff>
    </xdr:to>
    <mc:AlternateContent xmlns:mc="http://schemas.openxmlformats.org/markup-compatibility/2006" xmlns:a14="http://schemas.microsoft.com/office/drawing/2010/main">
      <mc:Choice Requires="a14">
        <xdr:graphicFrame macro="">
          <xdr:nvGraphicFramePr>
            <xdr:cNvPr id="19" name="Category 8">
              <a:extLst>
                <a:ext uri="{FF2B5EF4-FFF2-40B4-BE49-F238E27FC236}">
                  <a16:creationId xmlns:a16="http://schemas.microsoft.com/office/drawing/2014/main" id="{478806C1-FCF4-4F98-8F4C-7CB0EDAD3946}"/>
                </a:ext>
              </a:extLst>
            </xdr:cNvPr>
            <xdr:cNvGraphicFramePr/>
          </xdr:nvGraphicFramePr>
          <xdr:xfrm>
            <a:off x="0" y="0"/>
            <a:ext cx="0" cy="0"/>
          </xdr:xfrm>
          <a:graphic>
            <a:graphicData uri="http://schemas.microsoft.com/office/drawing/2010/slicer">
              <sle:slicer xmlns:sle="http://schemas.microsoft.com/office/drawing/2010/slicer" name="Category 8"/>
            </a:graphicData>
          </a:graphic>
        </xdr:graphicFrame>
      </mc:Choice>
      <mc:Fallback xmlns="">
        <xdr:sp macro="" textlink="">
          <xdr:nvSpPr>
            <xdr:cNvPr id="0" name=""/>
            <xdr:cNvSpPr>
              <a:spLocks noTextEdit="1"/>
            </xdr:cNvSpPr>
          </xdr:nvSpPr>
          <xdr:spPr>
            <a:xfrm>
              <a:off x="18009952" y="621044"/>
              <a:ext cx="1821221" cy="1530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426983</xdr:colOff>
      <xdr:row>12</xdr:row>
      <xdr:rowOff>120431</xdr:rowOff>
    </xdr:from>
    <xdr:to>
      <xdr:col>32</xdr:col>
      <xdr:colOff>208017</xdr:colOff>
      <xdr:row>13</xdr:row>
      <xdr:rowOff>186120</xdr:rowOff>
    </xdr:to>
    <xdr:sp macro="" textlink="">
      <xdr:nvSpPr>
        <xdr:cNvPr id="20" name="TextBox 19">
          <a:extLst>
            <a:ext uri="{FF2B5EF4-FFF2-40B4-BE49-F238E27FC236}">
              <a16:creationId xmlns:a16="http://schemas.microsoft.com/office/drawing/2014/main" id="{BB249700-38E8-4A6F-A2F4-5A70A58588A8}"/>
            </a:ext>
          </a:extLst>
        </xdr:cNvPr>
        <xdr:cNvSpPr txBox="1"/>
      </xdr:nvSpPr>
      <xdr:spPr>
        <a:xfrm>
          <a:off x="16886183" y="2596931"/>
          <a:ext cx="2829034" cy="27523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CATEGORY VS PROFIT</a:t>
          </a:r>
        </a:p>
      </xdr:txBody>
    </xdr:sp>
    <xdr:clientData/>
  </xdr:twoCellAnchor>
  <xdr:twoCellAnchor>
    <xdr:from>
      <xdr:col>5</xdr:col>
      <xdr:colOff>405086</xdr:colOff>
      <xdr:row>5</xdr:row>
      <xdr:rowOff>65690</xdr:rowOff>
    </xdr:from>
    <xdr:to>
      <xdr:col>8</xdr:col>
      <xdr:colOff>602155</xdr:colOff>
      <xdr:row>7</xdr:row>
      <xdr:rowOff>131379</xdr:rowOff>
    </xdr:to>
    <xdr:sp macro="" textlink="">
      <xdr:nvSpPr>
        <xdr:cNvPr id="21" name="TextBox 20">
          <a:extLst>
            <a:ext uri="{FF2B5EF4-FFF2-40B4-BE49-F238E27FC236}">
              <a16:creationId xmlns:a16="http://schemas.microsoft.com/office/drawing/2014/main" id="{948A6B1F-FAE4-4838-BBB3-DEB8C41A5BB9}"/>
            </a:ext>
          </a:extLst>
        </xdr:cNvPr>
        <xdr:cNvSpPr txBox="1"/>
      </xdr:nvSpPr>
      <xdr:spPr>
        <a:xfrm>
          <a:off x="3453086" y="1075340"/>
          <a:ext cx="2025869" cy="484789"/>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latin typeface="ADLaM Display" panose="020F0502020204030204" pitchFamily="2" charset="0"/>
              <a:ea typeface="ADLaM Display" panose="020F0502020204030204" pitchFamily="2" charset="0"/>
              <a:cs typeface="ADLaM Display" panose="020F0502020204030204" pitchFamily="2" charset="0"/>
            </a:rPr>
            <a:t>₹</a:t>
          </a:r>
          <a:r>
            <a:rPr lang="en-IN" sz="2000" b="1" baseline="0">
              <a:latin typeface="ADLaM Display" panose="020F0502020204030204" pitchFamily="2" charset="0"/>
              <a:ea typeface="ADLaM Display" panose="020F0502020204030204" pitchFamily="2" charset="0"/>
              <a:cs typeface="ADLaM Display" panose="020F0502020204030204" pitchFamily="2" charset="0"/>
            </a:rPr>
            <a:t>    58125450</a:t>
          </a:r>
          <a:endParaRPr lang="en-IN" sz="20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10</xdr:col>
      <xdr:colOff>306552</xdr:colOff>
      <xdr:row>5</xdr:row>
      <xdr:rowOff>65691</xdr:rowOff>
    </xdr:from>
    <xdr:to>
      <xdr:col>13</xdr:col>
      <xdr:colOff>459827</xdr:colOff>
      <xdr:row>7</xdr:row>
      <xdr:rowOff>142329</xdr:rowOff>
    </xdr:to>
    <xdr:sp macro="" textlink="">
      <xdr:nvSpPr>
        <xdr:cNvPr id="22" name="TextBox 21">
          <a:extLst>
            <a:ext uri="{FF2B5EF4-FFF2-40B4-BE49-F238E27FC236}">
              <a16:creationId xmlns:a16="http://schemas.microsoft.com/office/drawing/2014/main" id="{9BAFDD73-0DA5-4C3A-80ED-699D3C3CC102}"/>
            </a:ext>
          </a:extLst>
        </xdr:cNvPr>
        <xdr:cNvSpPr txBox="1"/>
      </xdr:nvSpPr>
      <xdr:spPr>
        <a:xfrm>
          <a:off x="6402552" y="1075341"/>
          <a:ext cx="1982075" cy="49573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masis MT Pro Black" panose="02040A04050005020304" pitchFamily="18" charset="0"/>
            </a:rPr>
            <a:t>₹</a:t>
          </a:r>
          <a:r>
            <a:rPr lang="en-IN" sz="2000" b="1">
              <a:latin typeface="Amasis MT Pro Black" panose="02040A04050005020304" pitchFamily="18" charset="0"/>
            </a:rPr>
            <a:t> 12690830</a:t>
          </a:r>
        </a:p>
      </xdr:txBody>
    </xdr:sp>
    <xdr:clientData/>
  </xdr:twoCellAnchor>
  <xdr:twoCellAnchor>
    <xdr:from>
      <xdr:col>1</xdr:col>
      <xdr:colOff>162962</xdr:colOff>
      <xdr:row>12</xdr:row>
      <xdr:rowOff>63165</xdr:rowOff>
    </xdr:from>
    <xdr:to>
      <xdr:col>4</xdr:col>
      <xdr:colOff>370979</xdr:colOff>
      <xdr:row>14</xdr:row>
      <xdr:rowOff>41269</xdr:rowOff>
    </xdr:to>
    <xdr:sp macro="" textlink="">
      <xdr:nvSpPr>
        <xdr:cNvPr id="23" name="Rectangle: Rounded Corners 22">
          <a:hlinkClick xmlns:r="http://schemas.openxmlformats.org/officeDocument/2006/relationships" r:id="rId1"/>
          <a:extLst>
            <a:ext uri="{FF2B5EF4-FFF2-40B4-BE49-F238E27FC236}">
              <a16:creationId xmlns:a16="http://schemas.microsoft.com/office/drawing/2014/main" id="{97A8F5C2-9333-457A-830A-5E3F5F3C0CB3}"/>
            </a:ext>
          </a:extLst>
        </xdr:cNvPr>
        <xdr:cNvSpPr/>
      </xdr:nvSpPr>
      <xdr:spPr>
        <a:xfrm>
          <a:off x="772562" y="2539665"/>
          <a:ext cx="2036817" cy="3972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latin typeface="ADLaM Display" panose="02010000000000000000" pitchFamily="2" charset="0"/>
              <a:ea typeface="ADLaM Display" panose="02010000000000000000" pitchFamily="2" charset="0"/>
              <a:cs typeface="ADLaM Display" panose="02010000000000000000" pitchFamily="2" charset="0"/>
            </a:rPr>
            <a:t>DESHBOARD</a:t>
          </a:r>
        </a:p>
      </xdr:txBody>
    </xdr:sp>
    <xdr:clientData/>
  </xdr:twoCellAnchor>
  <xdr:twoCellAnchor>
    <xdr:from>
      <xdr:col>1</xdr:col>
      <xdr:colOff>176436</xdr:colOff>
      <xdr:row>15</xdr:row>
      <xdr:rowOff>43792</xdr:rowOff>
    </xdr:from>
    <xdr:to>
      <xdr:col>4</xdr:col>
      <xdr:colOff>384453</xdr:colOff>
      <xdr:row>16</xdr:row>
      <xdr:rowOff>186120</xdr:rowOff>
    </xdr:to>
    <xdr:sp macro="" textlink="">
      <xdr:nvSpPr>
        <xdr:cNvPr id="24" name="Rectangle: Rounded Corners 23">
          <a:hlinkClick xmlns:r="http://schemas.openxmlformats.org/officeDocument/2006/relationships" r:id="rId6"/>
          <a:extLst>
            <a:ext uri="{FF2B5EF4-FFF2-40B4-BE49-F238E27FC236}">
              <a16:creationId xmlns:a16="http://schemas.microsoft.com/office/drawing/2014/main" id="{703031DC-B9B0-4830-82A8-C970D3C20038}"/>
            </a:ext>
          </a:extLst>
        </xdr:cNvPr>
        <xdr:cNvSpPr/>
      </xdr:nvSpPr>
      <xdr:spPr>
        <a:xfrm>
          <a:off x="786036" y="3148942"/>
          <a:ext cx="2036817" cy="3518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solidFill>
                <a:srgbClr val="FFC000"/>
              </a:solidFill>
              <a:latin typeface="Aptos Slab ExtraBold" panose="020B0004020202020204" pitchFamily="34" charset="0"/>
            </a:rPr>
            <a:t>SALE</a:t>
          </a:r>
        </a:p>
      </xdr:txBody>
    </xdr:sp>
    <xdr:clientData/>
  </xdr:twoCellAnchor>
  <xdr:twoCellAnchor>
    <xdr:from>
      <xdr:col>4</xdr:col>
      <xdr:colOff>512884</xdr:colOff>
      <xdr:row>2</xdr:row>
      <xdr:rowOff>24423</xdr:rowOff>
    </xdr:from>
    <xdr:to>
      <xdr:col>32</xdr:col>
      <xdr:colOff>439615</xdr:colOff>
      <xdr:row>40</xdr:row>
      <xdr:rowOff>12212</xdr:rowOff>
    </xdr:to>
    <xdr:sp macro="" textlink="">
      <xdr:nvSpPr>
        <xdr:cNvPr id="25" name="Rectangle 24">
          <a:extLst>
            <a:ext uri="{FF2B5EF4-FFF2-40B4-BE49-F238E27FC236}">
              <a16:creationId xmlns:a16="http://schemas.microsoft.com/office/drawing/2014/main" id="{0B1E5AF0-F5BB-48A3-856D-0811BF73AB8E}"/>
            </a:ext>
          </a:extLst>
        </xdr:cNvPr>
        <xdr:cNvSpPr/>
      </xdr:nvSpPr>
      <xdr:spPr>
        <a:xfrm>
          <a:off x="2951284" y="405423"/>
          <a:ext cx="16995531" cy="7855439"/>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61057</xdr:colOff>
      <xdr:row>10</xdr:row>
      <xdr:rowOff>73270</xdr:rowOff>
    </xdr:from>
    <xdr:to>
      <xdr:col>19</xdr:col>
      <xdr:colOff>451826</xdr:colOff>
      <xdr:row>39</xdr:row>
      <xdr:rowOff>48847</xdr:rowOff>
    </xdr:to>
    <xdr:sp macro="" textlink="">
      <xdr:nvSpPr>
        <xdr:cNvPr id="26" name="Rectangle 25">
          <a:extLst>
            <a:ext uri="{FF2B5EF4-FFF2-40B4-BE49-F238E27FC236}">
              <a16:creationId xmlns:a16="http://schemas.microsoft.com/office/drawing/2014/main" id="{20D577A8-A414-45EA-8D82-12A45B182D0D}"/>
            </a:ext>
          </a:extLst>
        </xdr:cNvPr>
        <xdr:cNvSpPr/>
      </xdr:nvSpPr>
      <xdr:spPr>
        <a:xfrm>
          <a:off x="3109057" y="2130670"/>
          <a:ext cx="8925169" cy="5976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134326</xdr:colOff>
      <xdr:row>3</xdr:row>
      <xdr:rowOff>0</xdr:rowOff>
    </xdr:from>
    <xdr:to>
      <xdr:col>9</xdr:col>
      <xdr:colOff>506778</xdr:colOff>
      <xdr:row>8</xdr:row>
      <xdr:rowOff>184918</xdr:rowOff>
    </xdr:to>
    <xdr:sp macro="" textlink="">
      <xdr:nvSpPr>
        <xdr:cNvPr id="28" name="Rectangle: Rounded Corners 27">
          <a:extLst>
            <a:ext uri="{FF2B5EF4-FFF2-40B4-BE49-F238E27FC236}">
              <a16:creationId xmlns:a16="http://schemas.microsoft.com/office/drawing/2014/main" id="{9A2BFF02-E8FA-4928-A401-1FF5C0BB6303}"/>
            </a:ext>
          </a:extLst>
        </xdr:cNvPr>
        <xdr:cNvSpPr/>
      </xdr:nvSpPr>
      <xdr:spPr>
        <a:xfrm>
          <a:off x="3182326" y="590550"/>
          <a:ext cx="2810852" cy="12326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TOTAL</a:t>
          </a:r>
          <a:r>
            <a:rPr lang="en-IN" sz="2000" baseline="0">
              <a:latin typeface="Amasis MT Pro Black" panose="02040A04050005020304" pitchFamily="18" charset="0"/>
            </a:rPr>
            <a:t> SALE</a:t>
          </a:r>
          <a:endParaRPr lang="en-IN" sz="2000">
            <a:latin typeface="Amasis MT Pro Black" panose="02040A04050005020304" pitchFamily="18" charset="0"/>
          </a:endParaRPr>
        </a:p>
      </xdr:txBody>
    </xdr:sp>
    <xdr:clientData/>
  </xdr:twoCellAnchor>
  <xdr:twoCellAnchor>
    <xdr:from>
      <xdr:col>5</xdr:col>
      <xdr:colOff>512884</xdr:colOff>
      <xdr:row>5</xdr:row>
      <xdr:rowOff>146538</xdr:rowOff>
    </xdr:from>
    <xdr:to>
      <xdr:col>9</xdr:col>
      <xdr:colOff>99376</xdr:colOff>
      <xdr:row>8</xdr:row>
      <xdr:rowOff>4631</xdr:rowOff>
    </xdr:to>
    <xdr:sp macro="" textlink="">
      <xdr:nvSpPr>
        <xdr:cNvPr id="29" name="TextBox 28">
          <a:extLst>
            <a:ext uri="{FF2B5EF4-FFF2-40B4-BE49-F238E27FC236}">
              <a16:creationId xmlns:a16="http://schemas.microsoft.com/office/drawing/2014/main" id="{BDEAD7AE-E77D-44B1-AE0E-201A35D822FB}"/>
            </a:ext>
          </a:extLst>
        </xdr:cNvPr>
        <xdr:cNvSpPr txBox="1"/>
      </xdr:nvSpPr>
      <xdr:spPr>
        <a:xfrm>
          <a:off x="3560884" y="1156188"/>
          <a:ext cx="2024892" cy="486743"/>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latin typeface="ADLaM Display" panose="020F0502020204030204" pitchFamily="2" charset="0"/>
              <a:ea typeface="ADLaM Display" panose="020F0502020204030204" pitchFamily="2" charset="0"/>
              <a:cs typeface="ADLaM Display" panose="020F0502020204030204" pitchFamily="2" charset="0"/>
            </a:rPr>
            <a:t>₹</a:t>
          </a:r>
          <a:r>
            <a:rPr lang="en-IN" sz="2000" b="1" baseline="0">
              <a:latin typeface="ADLaM Display" panose="020F0502020204030204" pitchFamily="2" charset="0"/>
              <a:ea typeface="ADLaM Display" panose="020F0502020204030204" pitchFamily="2" charset="0"/>
              <a:cs typeface="ADLaM Display" panose="020F0502020204030204" pitchFamily="2" charset="0"/>
            </a:rPr>
            <a:t>    58125450</a:t>
          </a:r>
          <a:endParaRPr lang="en-IN" sz="20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10</xdr:col>
      <xdr:colOff>109904</xdr:colOff>
      <xdr:row>2</xdr:row>
      <xdr:rowOff>195385</xdr:rowOff>
    </xdr:from>
    <xdr:to>
      <xdr:col>14</xdr:col>
      <xdr:colOff>482356</xdr:colOff>
      <xdr:row>8</xdr:row>
      <xdr:rowOff>172707</xdr:rowOff>
    </xdr:to>
    <xdr:sp macro="" textlink="">
      <xdr:nvSpPr>
        <xdr:cNvPr id="30" name="Rectangle: Rounded Corners 29">
          <a:extLst>
            <a:ext uri="{FF2B5EF4-FFF2-40B4-BE49-F238E27FC236}">
              <a16:creationId xmlns:a16="http://schemas.microsoft.com/office/drawing/2014/main" id="{2C140C56-84BE-4694-8051-D8EC75ED3B7B}"/>
            </a:ext>
          </a:extLst>
        </xdr:cNvPr>
        <xdr:cNvSpPr/>
      </xdr:nvSpPr>
      <xdr:spPr>
        <a:xfrm>
          <a:off x="6205904" y="576385"/>
          <a:ext cx="2810852" cy="1234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PROFIT</a:t>
          </a:r>
        </a:p>
      </xdr:txBody>
    </xdr:sp>
    <xdr:clientData/>
  </xdr:twoCellAnchor>
  <xdr:twoCellAnchor>
    <xdr:from>
      <xdr:col>10</xdr:col>
      <xdr:colOff>525096</xdr:colOff>
      <xdr:row>5</xdr:row>
      <xdr:rowOff>97692</xdr:rowOff>
    </xdr:from>
    <xdr:to>
      <xdr:col>14</xdr:col>
      <xdr:colOff>67794</xdr:colOff>
      <xdr:row>7</xdr:row>
      <xdr:rowOff>174330</xdr:rowOff>
    </xdr:to>
    <xdr:sp macro="" textlink="">
      <xdr:nvSpPr>
        <xdr:cNvPr id="31" name="TextBox 30">
          <a:extLst>
            <a:ext uri="{FF2B5EF4-FFF2-40B4-BE49-F238E27FC236}">
              <a16:creationId xmlns:a16="http://schemas.microsoft.com/office/drawing/2014/main" id="{E6ADAF16-DECB-409E-927B-EA6EF862F7E2}"/>
            </a:ext>
          </a:extLst>
        </xdr:cNvPr>
        <xdr:cNvSpPr txBox="1"/>
      </xdr:nvSpPr>
      <xdr:spPr>
        <a:xfrm>
          <a:off x="6621096" y="1107342"/>
          <a:ext cx="1981098" cy="49573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masis MT Pro Black" panose="02040A04050005020304" pitchFamily="18" charset="0"/>
            </a:rPr>
            <a:t>₹</a:t>
          </a:r>
          <a:r>
            <a:rPr lang="en-IN" sz="2000" b="1">
              <a:latin typeface="Amasis MT Pro Black" panose="02040A04050005020304" pitchFamily="18" charset="0"/>
            </a:rPr>
            <a:t> 12690830</a:t>
          </a:r>
        </a:p>
      </xdr:txBody>
    </xdr:sp>
    <xdr:clientData/>
  </xdr:twoCellAnchor>
  <xdr:twoCellAnchor>
    <xdr:from>
      <xdr:col>6</xdr:col>
      <xdr:colOff>427403</xdr:colOff>
      <xdr:row>10</xdr:row>
      <xdr:rowOff>170963</xdr:rowOff>
    </xdr:from>
    <xdr:to>
      <xdr:col>16</xdr:col>
      <xdr:colOff>268654</xdr:colOff>
      <xdr:row>12</xdr:row>
      <xdr:rowOff>170962</xdr:rowOff>
    </xdr:to>
    <xdr:sp macro="" textlink="">
      <xdr:nvSpPr>
        <xdr:cNvPr id="32" name="TextBox 31">
          <a:extLst>
            <a:ext uri="{FF2B5EF4-FFF2-40B4-BE49-F238E27FC236}">
              <a16:creationId xmlns:a16="http://schemas.microsoft.com/office/drawing/2014/main" id="{34B5C4AE-9650-493A-8B95-CCE8AED87A04}"/>
            </a:ext>
          </a:extLst>
        </xdr:cNvPr>
        <xdr:cNvSpPr txBox="1"/>
      </xdr:nvSpPr>
      <xdr:spPr>
        <a:xfrm>
          <a:off x="4085003" y="2228363"/>
          <a:ext cx="5937251" cy="41909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masis MT Pro Black" panose="02040A04050005020304" pitchFamily="18" charset="0"/>
            </a:rPr>
            <a:t>                     </a:t>
          </a:r>
          <a:r>
            <a:rPr lang="en-IN" sz="2000" b="0">
              <a:latin typeface="Amasis MT Pro Black" panose="02040A04050005020304" pitchFamily="18" charset="0"/>
            </a:rPr>
            <a:t>REGION VS SALES</a:t>
          </a:r>
        </a:p>
      </xdr:txBody>
    </xdr:sp>
    <xdr:clientData/>
  </xdr:twoCellAnchor>
  <xdr:twoCellAnchor>
    <xdr:from>
      <xdr:col>20</xdr:col>
      <xdr:colOff>0</xdr:colOff>
      <xdr:row>10</xdr:row>
      <xdr:rowOff>73270</xdr:rowOff>
    </xdr:from>
    <xdr:to>
      <xdr:col>32</xdr:col>
      <xdr:colOff>207595</xdr:colOff>
      <xdr:row>39</xdr:row>
      <xdr:rowOff>36634</xdr:rowOff>
    </xdr:to>
    <xdr:sp macro="" textlink="">
      <xdr:nvSpPr>
        <xdr:cNvPr id="34" name="Rectangle 33">
          <a:extLst>
            <a:ext uri="{FF2B5EF4-FFF2-40B4-BE49-F238E27FC236}">
              <a16:creationId xmlns:a16="http://schemas.microsoft.com/office/drawing/2014/main" id="{2D5F00D4-02A9-4430-AFD8-46C8A6021031}"/>
            </a:ext>
          </a:extLst>
        </xdr:cNvPr>
        <xdr:cNvSpPr/>
      </xdr:nvSpPr>
      <xdr:spPr>
        <a:xfrm>
          <a:off x="12192000" y="2130670"/>
          <a:ext cx="7522795" cy="59641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305289</xdr:colOff>
      <xdr:row>10</xdr:row>
      <xdr:rowOff>170962</xdr:rowOff>
    </xdr:from>
    <xdr:to>
      <xdr:col>31</xdr:col>
      <xdr:colOff>36634</xdr:colOff>
      <xdr:row>12</xdr:row>
      <xdr:rowOff>183173</xdr:rowOff>
    </xdr:to>
    <xdr:sp macro="" textlink="">
      <xdr:nvSpPr>
        <xdr:cNvPr id="36" name="TextBox 35">
          <a:extLst>
            <a:ext uri="{FF2B5EF4-FFF2-40B4-BE49-F238E27FC236}">
              <a16:creationId xmlns:a16="http://schemas.microsoft.com/office/drawing/2014/main" id="{3C0EFD11-0FE1-4D87-AAF3-08A0AE0DD12E}"/>
            </a:ext>
          </a:extLst>
        </xdr:cNvPr>
        <xdr:cNvSpPr txBox="1"/>
      </xdr:nvSpPr>
      <xdr:spPr>
        <a:xfrm>
          <a:off x="13106889" y="2228362"/>
          <a:ext cx="5827345" cy="43131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Aptos Slab ExtraBold" panose="020B0004020202020204" pitchFamily="34" charset="0"/>
            </a:rPr>
            <a:t>                        </a:t>
          </a:r>
          <a:r>
            <a:rPr lang="en-IN" sz="2000">
              <a:latin typeface="Aptos Slab ExtraBold" panose="020B0004020202020204" pitchFamily="34" charset="0"/>
            </a:rPr>
            <a:t>REGION</a:t>
          </a:r>
          <a:r>
            <a:rPr lang="en-IN" sz="2000" baseline="0">
              <a:latin typeface="Aptos Slab ExtraBold" panose="020B0004020202020204" pitchFamily="34" charset="0"/>
            </a:rPr>
            <a:t> </a:t>
          </a:r>
          <a:r>
            <a:rPr lang="en-IN" sz="2000">
              <a:latin typeface="Aptos Slab ExtraBold" panose="020B0004020202020204" pitchFamily="34" charset="0"/>
            </a:rPr>
            <a:t>VS PROFIT</a:t>
          </a:r>
        </a:p>
      </xdr:txBody>
    </xdr:sp>
    <xdr:clientData/>
  </xdr:twoCellAnchor>
  <xdr:twoCellAnchor>
    <xdr:from>
      <xdr:col>1</xdr:col>
      <xdr:colOff>170961</xdr:colOff>
      <xdr:row>17</xdr:row>
      <xdr:rowOff>207595</xdr:rowOff>
    </xdr:from>
    <xdr:to>
      <xdr:col>4</xdr:col>
      <xdr:colOff>402980</xdr:colOff>
      <xdr:row>19</xdr:row>
      <xdr:rowOff>158749</xdr:rowOff>
    </xdr:to>
    <xdr:sp macro="" textlink="">
      <xdr:nvSpPr>
        <xdr:cNvPr id="37" name="Rectangle: Rounded Corners 36">
          <a:hlinkClick xmlns:r="http://schemas.openxmlformats.org/officeDocument/2006/relationships" r:id="rId6"/>
          <a:extLst>
            <a:ext uri="{FF2B5EF4-FFF2-40B4-BE49-F238E27FC236}">
              <a16:creationId xmlns:a16="http://schemas.microsoft.com/office/drawing/2014/main" id="{8DBB041E-B8AC-43A7-8CBC-9346C12F61DD}"/>
            </a:ext>
          </a:extLst>
        </xdr:cNvPr>
        <xdr:cNvSpPr/>
      </xdr:nvSpPr>
      <xdr:spPr>
        <a:xfrm>
          <a:off x="780561" y="3731845"/>
          <a:ext cx="2060819" cy="3702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rgbClr val="FFC000"/>
              </a:solidFill>
              <a:latin typeface="ADLaM Display" panose="02010000000000000000" pitchFamily="2" charset="0"/>
              <a:ea typeface="ADLaM Display" panose="02010000000000000000" pitchFamily="2" charset="0"/>
              <a:cs typeface="ADLaM Display" panose="02010000000000000000" pitchFamily="2" charset="0"/>
            </a:rPr>
            <a:t>SALE PERSON</a:t>
          </a:r>
        </a:p>
      </xdr:txBody>
    </xdr:sp>
    <xdr:clientData/>
  </xdr:twoCellAnchor>
  <xdr:twoCellAnchor>
    <xdr:from>
      <xdr:col>1</xdr:col>
      <xdr:colOff>185245</xdr:colOff>
      <xdr:row>20</xdr:row>
      <xdr:rowOff>153378</xdr:rowOff>
    </xdr:from>
    <xdr:to>
      <xdr:col>4</xdr:col>
      <xdr:colOff>417264</xdr:colOff>
      <xdr:row>22</xdr:row>
      <xdr:rowOff>104532</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DA8C2EE5-7062-4FD6-AF10-35E1B6740EB8}"/>
            </a:ext>
          </a:extLst>
        </xdr:cNvPr>
        <xdr:cNvSpPr/>
      </xdr:nvSpPr>
      <xdr:spPr>
        <a:xfrm>
          <a:off x="794845" y="4306278"/>
          <a:ext cx="2060819" cy="3702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rgbClr val="FFC000"/>
              </a:solidFill>
              <a:latin typeface="ADLaM Display" panose="02010000000000000000" pitchFamily="2" charset="0"/>
              <a:ea typeface="ADLaM Display" panose="02010000000000000000" pitchFamily="2" charset="0"/>
              <a:cs typeface="ADLaM Display" panose="02010000000000000000" pitchFamily="2" charset="0"/>
            </a:rPr>
            <a:t>REGION</a:t>
          </a:r>
        </a:p>
      </xdr:txBody>
    </xdr:sp>
    <xdr:clientData/>
  </xdr:twoCellAnchor>
  <xdr:twoCellAnchor>
    <xdr:from>
      <xdr:col>5</xdr:col>
      <xdr:colOff>202711</xdr:colOff>
      <xdr:row>13</xdr:row>
      <xdr:rowOff>42497</xdr:rowOff>
    </xdr:from>
    <xdr:to>
      <xdr:col>19</xdr:col>
      <xdr:colOff>305288</xdr:colOff>
      <xdr:row>38</xdr:row>
      <xdr:rowOff>109904</xdr:rowOff>
    </xdr:to>
    <xdr:graphicFrame macro="">
      <xdr:nvGraphicFramePr>
        <xdr:cNvPr id="40" name="Chart 39">
          <a:extLst>
            <a:ext uri="{FF2B5EF4-FFF2-40B4-BE49-F238E27FC236}">
              <a16:creationId xmlns:a16="http://schemas.microsoft.com/office/drawing/2014/main" id="{8C4D904B-B44A-4F64-90F9-476FB1067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69360</xdr:colOff>
      <xdr:row>3</xdr:row>
      <xdr:rowOff>51289</xdr:rowOff>
    </xdr:from>
    <xdr:to>
      <xdr:col>29</xdr:col>
      <xdr:colOff>183172</xdr:colOff>
      <xdr:row>8</xdr:row>
      <xdr:rowOff>122970</xdr:rowOff>
    </xdr:to>
    <mc:AlternateContent xmlns:mc="http://schemas.openxmlformats.org/markup-compatibility/2006" xmlns:a14="http://schemas.microsoft.com/office/drawing/2010/main">
      <mc:Choice Requires="a14">
        <xdr:graphicFrame macro="">
          <xdr:nvGraphicFramePr>
            <xdr:cNvPr id="41" name="Region 1">
              <a:extLst>
                <a:ext uri="{FF2B5EF4-FFF2-40B4-BE49-F238E27FC236}">
                  <a16:creationId xmlns:a16="http://schemas.microsoft.com/office/drawing/2014/main" id="{33C808B9-5002-48BE-BBEE-B79D2DBE5D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28014" y="649654"/>
              <a:ext cx="8661889" cy="1109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188058</xdr:colOff>
      <xdr:row>13</xdr:row>
      <xdr:rowOff>30286</xdr:rowOff>
    </xdr:from>
    <xdr:to>
      <xdr:col>32</xdr:col>
      <xdr:colOff>48846</xdr:colOff>
      <xdr:row>38</xdr:row>
      <xdr:rowOff>85481</xdr:rowOff>
    </xdr:to>
    <xdr:graphicFrame macro="">
      <xdr:nvGraphicFramePr>
        <xdr:cNvPr id="42" name="Chart 41">
          <a:extLst>
            <a:ext uri="{FF2B5EF4-FFF2-40B4-BE49-F238E27FC236}">
              <a16:creationId xmlns:a16="http://schemas.microsoft.com/office/drawing/2014/main" id="{7FBEFCA9-5D4D-4661-9188-061B818C5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354135</xdr:colOff>
      <xdr:row>3</xdr:row>
      <xdr:rowOff>73270</xdr:rowOff>
    </xdr:from>
    <xdr:to>
      <xdr:col>32</xdr:col>
      <xdr:colOff>97692</xdr:colOff>
      <xdr:row>9</xdr:row>
      <xdr:rowOff>134328</xdr:rowOff>
    </xdr:to>
    <xdr:pic>
      <xdr:nvPicPr>
        <xdr:cNvPr id="44" name="Picture 43">
          <a:extLst>
            <a:ext uri="{FF2B5EF4-FFF2-40B4-BE49-F238E27FC236}">
              <a16:creationId xmlns:a16="http://schemas.microsoft.com/office/drawing/2014/main" id="{30AFF92E-DA3C-1076-1AFD-CB56A541FBB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8060866" y="671635"/>
          <a:ext cx="1575288" cy="13066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39684</xdr:colOff>
      <xdr:row>0</xdr:row>
      <xdr:rowOff>190012</xdr:rowOff>
    </xdr:from>
    <xdr:to>
      <xdr:col>32</xdr:col>
      <xdr:colOff>607749</xdr:colOff>
      <xdr:row>40</xdr:row>
      <xdr:rowOff>157006</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91100692-C95F-408B-B6FB-EA2C7F6A5C7F}"/>
            </a:ext>
          </a:extLst>
        </xdr:cNvPr>
        <xdr:cNvSpPr/>
      </xdr:nvSpPr>
      <xdr:spPr>
        <a:xfrm>
          <a:off x="649284" y="190012"/>
          <a:ext cx="19465665" cy="8215644"/>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60000"/>
                <a:lumOff val="40000"/>
              </a:schemeClr>
            </a:solidFill>
          </a:endParaRPr>
        </a:p>
      </xdr:txBody>
    </xdr:sp>
    <xdr:clientData/>
  </xdr:twoCellAnchor>
  <xdr:twoCellAnchor>
    <xdr:from>
      <xdr:col>4</xdr:col>
      <xdr:colOff>500289</xdr:colOff>
      <xdr:row>2</xdr:row>
      <xdr:rowOff>22679</xdr:rowOff>
    </xdr:from>
    <xdr:to>
      <xdr:col>32</xdr:col>
      <xdr:colOff>459828</xdr:colOff>
      <xdr:row>40</xdr:row>
      <xdr:rowOff>34018</xdr:rowOff>
    </xdr:to>
    <xdr:sp macro="" textlink="">
      <xdr:nvSpPr>
        <xdr:cNvPr id="3" name="Rectangle 2">
          <a:extLst>
            <a:ext uri="{FF2B5EF4-FFF2-40B4-BE49-F238E27FC236}">
              <a16:creationId xmlns:a16="http://schemas.microsoft.com/office/drawing/2014/main" id="{C580B382-DDA9-48AA-82C2-BBFF40A2D486}"/>
            </a:ext>
          </a:extLst>
        </xdr:cNvPr>
        <xdr:cNvSpPr/>
      </xdr:nvSpPr>
      <xdr:spPr>
        <a:xfrm>
          <a:off x="2938689" y="403679"/>
          <a:ext cx="17028339" cy="7878989"/>
        </a:xfrm>
        <a:prstGeom prst="rect">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578304</xdr:colOff>
      <xdr:row>2</xdr:row>
      <xdr:rowOff>124732</xdr:rowOff>
    </xdr:from>
    <xdr:to>
      <xdr:col>9</xdr:col>
      <xdr:colOff>340179</xdr:colOff>
      <xdr:row>8</xdr:row>
      <xdr:rowOff>102054</xdr:rowOff>
    </xdr:to>
    <xdr:sp macro="" textlink="">
      <xdr:nvSpPr>
        <xdr:cNvPr id="4" name="Rectangle: Rounded Corners 3">
          <a:extLst>
            <a:ext uri="{FF2B5EF4-FFF2-40B4-BE49-F238E27FC236}">
              <a16:creationId xmlns:a16="http://schemas.microsoft.com/office/drawing/2014/main" id="{ADC20EA7-7AE6-4499-BC47-4748DEE41983}"/>
            </a:ext>
          </a:extLst>
        </xdr:cNvPr>
        <xdr:cNvSpPr/>
      </xdr:nvSpPr>
      <xdr:spPr>
        <a:xfrm>
          <a:off x="3016704" y="505732"/>
          <a:ext cx="2809875" cy="1234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TOTAL</a:t>
          </a:r>
          <a:r>
            <a:rPr lang="en-IN" sz="2000" baseline="0">
              <a:latin typeface="Amasis MT Pro Black" panose="02040A04050005020304" pitchFamily="18" charset="0"/>
            </a:rPr>
            <a:t> SALE</a:t>
          </a:r>
          <a:endParaRPr lang="en-IN" sz="2000">
            <a:latin typeface="Amasis MT Pro Black" panose="02040A04050005020304" pitchFamily="18" charset="0"/>
          </a:endParaRPr>
        </a:p>
      </xdr:txBody>
    </xdr:sp>
    <xdr:clientData/>
  </xdr:twoCellAnchor>
  <xdr:twoCellAnchor>
    <xdr:from>
      <xdr:col>9</xdr:col>
      <xdr:colOff>488950</xdr:colOff>
      <xdr:row>2</xdr:row>
      <xdr:rowOff>136072</xdr:rowOff>
    </xdr:from>
    <xdr:to>
      <xdr:col>14</xdr:col>
      <xdr:colOff>250825</xdr:colOff>
      <xdr:row>8</xdr:row>
      <xdr:rowOff>113394</xdr:rowOff>
    </xdr:to>
    <xdr:sp macro="" textlink="">
      <xdr:nvSpPr>
        <xdr:cNvPr id="5" name="Rectangle: Rounded Corners 4">
          <a:extLst>
            <a:ext uri="{FF2B5EF4-FFF2-40B4-BE49-F238E27FC236}">
              <a16:creationId xmlns:a16="http://schemas.microsoft.com/office/drawing/2014/main" id="{5CCFC108-D1D5-477A-A37F-E2B701ACFC93}"/>
            </a:ext>
          </a:extLst>
        </xdr:cNvPr>
        <xdr:cNvSpPr/>
      </xdr:nvSpPr>
      <xdr:spPr>
        <a:xfrm>
          <a:off x="5975350" y="517072"/>
          <a:ext cx="2809875" cy="1234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PROFIT</a:t>
          </a:r>
        </a:p>
      </xdr:txBody>
    </xdr:sp>
    <xdr:clientData/>
  </xdr:twoCellAnchor>
  <xdr:twoCellAnchor>
    <xdr:from>
      <xdr:col>4</xdr:col>
      <xdr:colOff>566965</xdr:colOff>
      <xdr:row>10</xdr:row>
      <xdr:rowOff>136072</xdr:rowOff>
    </xdr:from>
    <xdr:to>
      <xdr:col>14</xdr:col>
      <xdr:colOff>262759</xdr:colOff>
      <xdr:row>39</xdr:row>
      <xdr:rowOff>113394</xdr:rowOff>
    </xdr:to>
    <xdr:sp macro="" textlink="">
      <xdr:nvSpPr>
        <xdr:cNvPr id="6" name="Rectangle 5">
          <a:extLst>
            <a:ext uri="{FF2B5EF4-FFF2-40B4-BE49-F238E27FC236}">
              <a16:creationId xmlns:a16="http://schemas.microsoft.com/office/drawing/2014/main" id="{BDBC35F6-AFB3-46A9-B4E3-76476627EB9E}"/>
            </a:ext>
          </a:extLst>
        </xdr:cNvPr>
        <xdr:cNvSpPr/>
      </xdr:nvSpPr>
      <xdr:spPr>
        <a:xfrm>
          <a:off x="3005365" y="2193472"/>
          <a:ext cx="5791794" cy="597807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119647</xdr:colOff>
      <xdr:row>12</xdr:row>
      <xdr:rowOff>101662</xdr:rowOff>
    </xdr:from>
    <xdr:to>
      <xdr:col>14</xdr:col>
      <xdr:colOff>85481</xdr:colOff>
      <xdr:row>25</xdr:row>
      <xdr:rowOff>158359</xdr:rowOff>
    </xdr:to>
    <xdr:graphicFrame macro="">
      <xdr:nvGraphicFramePr>
        <xdr:cNvPr id="7" name="Chart 6">
          <a:extLst>
            <a:ext uri="{FF2B5EF4-FFF2-40B4-BE49-F238E27FC236}">
              <a16:creationId xmlns:a16="http://schemas.microsoft.com/office/drawing/2014/main" id="{767A8824-9A5C-4C68-8C45-E8125CA2B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340178</xdr:colOff>
      <xdr:row>3</xdr:row>
      <xdr:rowOff>11340</xdr:rowOff>
    </xdr:from>
    <xdr:to>
      <xdr:col>20</xdr:col>
      <xdr:colOff>207281</xdr:colOff>
      <xdr:row>7</xdr:row>
      <xdr:rowOff>37147</xdr:rowOff>
    </xdr:to>
    <mc:AlternateContent xmlns:mc="http://schemas.openxmlformats.org/markup-compatibility/2006" xmlns:a14="http://schemas.microsoft.com/office/drawing/2010/main">
      <mc:Choice Requires="a14">
        <xdr:graphicFrame macro="">
          <xdr:nvGraphicFramePr>
            <xdr:cNvPr id="8" name="Product Name 3">
              <a:extLst>
                <a:ext uri="{FF2B5EF4-FFF2-40B4-BE49-F238E27FC236}">
                  <a16:creationId xmlns:a16="http://schemas.microsoft.com/office/drawing/2014/main" id="{A17ACB37-3B85-41F0-B916-E4196FC08F5C}"/>
                </a:ext>
              </a:extLst>
            </xdr:cNvPr>
            <xdr:cNvGraphicFramePr/>
          </xdr:nvGraphicFramePr>
          <xdr:xfrm>
            <a:off x="0" y="0"/>
            <a:ext cx="0" cy="0"/>
          </xdr:xfrm>
          <a:graphic>
            <a:graphicData uri="http://schemas.microsoft.com/office/drawing/2010/slicer">
              <sle:slicer xmlns:sle="http://schemas.microsoft.com/office/drawing/2010/slicer" name="Product Name 3"/>
            </a:graphicData>
          </a:graphic>
        </xdr:graphicFrame>
      </mc:Choice>
      <mc:Fallback xmlns="">
        <xdr:sp macro="" textlink="">
          <xdr:nvSpPr>
            <xdr:cNvPr id="0" name=""/>
            <xdr:cNvSpPr>
              <a:spLocks noTextEdit="1"/>
            </xdr:cNvSpPr>
          </xdr:nvSpPr>
          <xdr:spPr>
            <a:xfrm>
              <a:off x="8888255" y="609705"/>
              <a:ext cx="3530564" cy="856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578302</xdr:colOff>
      <xdr:row>10</xdr:row>
      <xdr:rowOff>147412</xdr:rowOff>
    </xdr:from>
    <xdr:to>
      <xdr:col>11</xdr:col>
      <xdr:colOff>510267</xdr:colOff>
      <xdr:row>12</xdr:row>
      <xdr:rowOff>11341</xdr:rowOff>
    </xdr:to>
    <xdr:sp macro="" textlink="">
      <xdr:nvSpPr>
        <xdr:cNvPr id="9" name="TextBox 8">
          <a:extLst>
            <a:ext uri="{FF2B5EF4-FFF2-40B4-BE49-F238E27FC236}">
              <a16:creationId xmlns:a16="http://schemas.microsoft.com/office/drawing/2014/main" id="{6A4A4E57-634F-4F3B-A925-6EF2D6742231}"/>
            </a:ext>
          </a:extLst>
        </xdr:cNvPr>
        <xdr:cNvSpPr txBox="1"/>
      </xdr:nvSpPr>
      <xdr:spPr>
        <a:xfrm>
          <a:off x="3016702" y="2204812"/>
          <a:ext cx="4199165" cy="28302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                       PRODUCT VS SALES</a:t>
          </a:r>
        </a:p>
      </xdr:txBody>
    </xdr:sp>
    <xdr:clientData/>
  </xdr:twoCellAnchor>
  <xdr:twoCellAnchor>
    <xdr:from>
      <xdr:col>5</xdr:col>
      <xdr:colOff>131771</xdr:colOff>
      <xdr:row>27</xdr:row>
      <xdr:rowOff>136855</xdr:rowOff>
    </xdr:from>
    <xdr:to>
      <xdr:col>14</xdr:col>
      <xdr:colOff>142328</xdr:colOff>
      <xdr:row>38</xdr:row>
      <xdr:rowOff>164225</xdr:rowOff>
    </xdr:to>
    <xdr:graphicFrame macro="">
      <xdr:nvGraphicFramePr>
        <xdr:cNvPr id="10" name="Chart 9">
          <a:extLst>
            <a:ext uri="{FF2B5EF4-FFF2-40B4-BE49-F238E27FC236}">
              <a16:creationId xmlns:a16="http://schemas.microsoft.com/office/drawing/2014/main" id="{176829C5-3024-4B69-A338-572D4B2E2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341539</xdr:colOff>
      <xdr:row>7</xdr:row>
      <xdr:rowOff>181430</xdr:rowOff>
    </xdr:from>
    <xdr:to>
      <xdr:col>20</xdr:col>
      <xdr:colOff>239485</xdr:colOff>
      <xdr:row>10</xdr:row>
      <xdr:rowOff>197070</xdr:rowOff>
    </xdr:to>
    <mc:AlternateContent xmlns:mc="http://schemas.openxmlformats.org/markup-compatibility/2006" xmlns:a14="http://schemas.microsoft.com/office/drawing/2010/main">
      <mc:Choice Requires="a14">
        <xdr:graphicFrame macro="">
          <xdr:nvGraphicFramePr>
            <xdr:cNvPr id="11" name="Category 5">
              <a:extLst>
                <a:ext uri="{FF2B5EF4-FFF2-40B4-BE49-F238E27FC236}">
                  <a16:creationId xmlns:a16="http://schemas.microsoft.com/office/drawing/2014/main" id="{BB8C7111-77AC-4600-BBB9-8D265072346A}"/>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8889616" y="1610180"/>
              <a:ext cx="3561407" cy="638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464910</xdr:colOff>
      <xdr:row>25</xdr:row>
      <xdr:rowOff>170089</xdr:rowOff>
    </xdr:from>
    <xdr:to>
      <xdr:col>12</xdr:col>
      <xdr:colOff>204107</xdr:colOff>
      <xdr:row>27</xdr:row>
      <xdr:rowOff>98534</xdr:rowOff>
    </xdr:to>
    <xdr:sp macro="" textlink="">
      <xdr:nvSpPr>
        <xdr:cNvPr id="12" name="TextBox 11">
          <a:extLst>
            <a:ext uri="{FF2B5EF4-FFF2-40B4-BE49-F238E27FC236}">
              <a16:creationId xmlns:a16="http://schemas.microsoft.com/office/drawing/2014/main" id="{13A1F650-CEFA-4278-8409-BBEB52141641}"/>
            </a:ext>
          </a:extLst>
        </xdr:cNvPr>
        <xdr:cNvSpPr txBox="1"/>
      </xdr:nvSpPr>
      <xdr:spPr>
        <a:xfrm>
          <a:off x="4122510" y="5370739"/>
          <a:ext cx="3396797" cy="34754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     CATEGORY VS SALES</a:t>
          </a:r>
        </a:p>
      </xdr:txBody>
    </xdr:sp>
    <xdr:clientData/>
  </xdr:twoCellAnchor>
  <xdr:twoCellAnchor>
    <xdr:from>
      <xdr:col>14</xdr:col>
      <xdr:colOff>426984</xdr:colOff>
      <xdr:row>12</xdr:row>
      <xdr:rowOff>43793</xdr:rowOff>
    </xdr:from>
    <xdr:to>
      <xdr:col>26</xdr:col>
      <xdr:colOff>437932</xdr:colOff>
      <xdr:row>39</xdr:row>
      <xdr:rowOff>87586</xdr:rowOff>
    </xdr:to>
    <xdr:sp macro="" textlink="">
      <xdr:nvSpPr>
        <xdr:cNvPr id="13" name="Rectangle 12">
          <a:extLst>
            <a:ext uri="{FF2B5EF4-FFF2-40B4-BE49-F238E27FC236}">
              <a16:creationId xmlns:a16="http://schemas.microsoft.com/office/drawing/2014/main" id="{C5CDC614-1F69-4A51-A3E0-F61A6C676B47}"/>
            </a:ext>
          </a:extLst>
        </xdr:cNvPr>
        <xdr:cNvSpPr/>
      </xdr:nvSpPr>
      <xdr:spPr>
        <a:xfrm>
          <a:off x="8961384" y="2520293"/>
          <a:ext cx="7326148" cy="562544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54741</xdr:colOff>
      <xdr:row>14</xdr:row>
      <xdr:rowOff>153274</xdr:rowOff>
    </xdr:from>
    <xdr:to>
      <xdr:col>26</xdr:col>
      <xdr:colOff>229913</xdr:colOff>
      <xdr:row>38</xdr:row>
      <xdr:rowOff>131379</xdr:rowOff>
    </xdr:to>
    <xdr:graphicFrame macro="">
      <xdr:nvGraphicFramePr>
        <xdr:cNvPr id="14" name="Chart 13">
          <a:extLst>
            <a:ext uri="{FF2B5EF4-FFF2-40B4-BE49-F238E27FC236}">
              <a16:creationId xmlns:a16="http://schemas.microsoft.com/office/drawing/2014/main" id="{F491296C-A277-4CEC-919A-C204BB74C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336065</xdr:colOff>
      <xdr:row>3</xdr:row>
      <xdr:rowOff>22679</xdr:rowOff>
    </xdr:from>
    <xdr:to>
      <xdr:col>29</xdr:col>
      <xdr:colOff>133084</xdr:colOff>
      <xdr:row>10</xdr:row>
      <xdr:rowOff>87587</xdr:rowOff>
    </xdr:to>
    <mc:AlternateContent xmlns:mc="http://schemas.openxmlformats.org/markup-compatibility/2006" xmlns:a14="http://schemas.microsoft.com/office/drawing/2010/main">
      <mc:Choice Requires="a14">
        <xdr:graphicFrame macro="">
          <xdr:nvGraphicFramePr>
            <xdr:cNvPr id="15" name="Month 4">
              <a:extLst>
                <a:ext uri="{FF2B5EF4-FFF2-40B4-BE49-F238E27FC236}">
                  <a16:creationId xmlns:a16="http://schemas.microsoft.com/office/drawing/2014/main" id="{F41CAD35-6EB8-46FC-B99B-E0E7DE01862F}"/>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2547603" y="621044"/>
              <a:ext cx="5292212" cy="1518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109482</xdr:colOff>
      <xdr:row>12</xdr:row>
      <xdr:rowOff>142328</xdr:rowOff>
    </xdr:from>
    <xdr:to>
      <xdr:col>24</xdr:col>
      <xdr:colOff>547412</xdr:colOff>
      <xdr:row>14</xdr:row>
      <xdr:rowOff>87585</xdr:rowOff>
    </xdr:to>
    <xdr:sp macro="" textlink="">
      <xdr:nvSpPr>
        <xdr:cNvPr id="16" name="TextBox 15">
          <a:extLst>
            <a:ext uri="{FF2B5EF4-FFF2-40B4-BE49-F238E27FC236}">
              <a16:creationId xmlns:a16="http://schemas.microsoft.com/office/drawing/2014/main" id="{782DF21A-7599-4CC3-BF39-6F0B5B35135C}"/>
            </a:ext>
          </a:extLst>
        </xdr:cNvPr>
        <xdr:cNvSpPr txBox="1"/>
      </xdr:nvSpPr>
      <xdr:spPr>
        <a:xfrm>
          <a:off x="9863082" y="2618828"/>
          <a:ext cx="5314730" cy="36435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masis MT Pro Black" panose="02040A04050005020304" pitchFamily="18" charset="0"/>
            </a:rPr>
            <a:t>MONTH VS SALES</a:t>
          </a:r>
        </a:p>
      </xdr:txBody>
    </xdr:sp>
    <xdr:clientData/>
  </xdr:twoCellAnchor>
  <xdr:twoCellAnchor>
    <xdr:from>
      <xdr:col>26</xdr:col>
      <xdr:colOff>591208</xdr:colOff>
      <xdr:row>12</xdr:row>
      <xdr:rowOff>54742</xdr:rowOff>
    </xdr:from>
    <xdr:to>
      <xdr:col>32</xdr:col>
      <xdr:colOff>339398</xdr:colOff>
      <xdr:row>39</xdr:row>
      <xdr:rowOff>76638</xdr:rowOff>
    </xdr:to>
    <xdr:sp macro="" textlink="">
      <xdr:nvSpPr>
        <xdr:cNvPr id="17" name="Rectangle 16">
          <a:extLst>
            <a:ext uri="{FF2B5EF4-FFF2-40B4-BE49-F238E27FC236}">
              <a16:creationId xmlns:a16="http://schemas.microsoft.com/office/drawing/2014/main" id="{01B4450E-3B65-427D-B9EF-CB4D3B0E80FA}"/>
            </a:ext>
          </a:extLst>
        </xdr:cNvPr>
        <xdr:cNvSpPr/>
      </xdr:nvSpPr>
      <xdr:spPr>
        <a:xfrm>
          <a:off x="16440808" y="2531242"/>
          <a:ext cx="3405790" cy="56035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87586</xdr:colOff>
      <xdr:row>14</xdr:row>
      <xdr:rowOff>131379</xdr:rowOff>
    </xdr:from>
    <xdr:to>
      <xdr:col>32</xdr:col>
      <xdr:colOff>244230</xdr:colOff>
      <xdr:row>38</xdr:row>
      <xdr:rowOff>142329</xdr:rowOff>
    </xdr:to>
    <xdr:graphicFrame macro="">
      <xdr:nvGraphicFramePr>
        <xdr:cNvPr id="18" name="Chart 17">
          <a:extLst>
            <a:ext uri="{FF2B5EF4-FFF2-40B4-BE49-F238E27FC236}">
              <a16:creationId xmlns:a16="http://schemas.microsoft.com/office/drawing/2014/main" id="{F5BE6531-42C5-4DD2-A17B-218FDC5E5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303221</xdr:colOff>
      <xdr:row>3</xdr:row>
      <xdr:rowOff>22679</xdr:rowOff>
    </xdr:from>
    <xdr:to>
      <xdr:col>32</xdr:col>
      <xdr:colOff>292711</xdr:colOff>
      <xdr:row>10</xdr:row>
      <xdr:rowOff>100084</xdr:rowOff>
    </xdr:to>
    <mc:AlternateContent xmlns:mc="http://schemas.openxmlformats.org/markup-compatibility/2006" xmlns:a14="http://schemas.microsoft.com/office/drawing/2010/main">
      <mc:Choice Requires="a14">
        <xdr:graphicFrame macro="">
          <xdr:nvGraphicFramePr>
            <xdr:cNvPr id="19" name="Category 6">
              <a:extLst>
                <a:ext uri="{FF2B5EF4-FFF2-40B4-BE49-F238E27FC236}">
                  <a16:creationId xmlns:a16="http://schemas.microsoft.com/office/drawing/2014/main" id="{EEBAE014-589B-443C-A5FF-ECDD2AE137D6}"/>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18009952" y="621044"/>
              <a:ext cx="1821221" cy="1530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426983</xdr:colOff>
      <xdr:row>12</xdr:row>
      <xdr:rowOff>120431</xdr:rowOff>
    </xdr:from>
    <xdr:to>
      <xdr:col>32</xdr:col>
      <xdr:colOff>208017</xdr:colOff>
      <xdr:row>13</xdr:row>
      <xdr:rowOff>186120</xdr:rowOff>
    </xdr:to>
    <xdr:sp macro="" textlink="">
      <xdr:nvSpPr>
        <xdr:cNvPr id="20" name="TextBox 19">
          <a:extLst>
            <a:ext uri="{FF2B5EF4-FFF2-40B4-BE49-F238E27FC236}">
              <a16:creationId xmlns:a16="http://schemas.microsoft.com/office/drawing/2014/main" id="{F8A26FD5-810C-4B69-AF76-BB704DD1517A}"/>
            </a:ext>
          </a:extLst>
        </xdr:cNvPr>
        <xdr:cNvSpPr txBox="1"/>
      </xdr:nvSpPr>
      <xdr:spPr>
        <a:xfrm>
          <a:off x="16886183" y="2596931"/>
          <a:ext cx="2829034" cy="27523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CATEGORY VS PROFIT</a:t>
          </a:r>
        </a:p>
      </xdr:txBody>
    </xdr:sp>
    <xdr:clientData/>
  </xdr:twoCellAnchor>
  <xdr:twoCellAnchor>
    <xdr:from>
      <xdr:col>5</xdr:col>
      <xdr:colOff>405086</xdr:colOff>
      <xdr:row>5</xdr:row>
      <xdr:rowOff>65690</xdr:rowOff>
    </xdr:from>
    <xdr:to>
      <xdr:col>8</xdr:col>
      <xdr:colOff>602155</xdr:colOff>
      <xdr:row>7</xdr:row>
      <xdr:rowOff>131379</xdr:rowOff>
    </xdr:to>
    <xdr:sp macro="" textlink="">
      <xdr:nvSpPr>
        <xdr:cNvPr id="21" name="TextBox 20">
          <a:extLst>
            <a:ext uri="{FF2B5EF4-FFF2-40B4-BE49-F238E27FC236}">
              <a16:creationId xmlns:a16="http://schemas.microsoft.com/office/drawing/2014/main" id="{F15C6AC6-BA71-41D1-BB8A-2A03C35D26D3}"/>
            </a:ext>
          </a:extLst>
        </xdr:cNvPr>
        <xdr:cNvSpPr txBox="1"/>
      </xdr:nvSpPr>
      <xdr:spPr>
        <a:xfrm>
          <a:off x="3453086" y="1075340"/>
          <a:ext cx="2025869" cy="484789"/>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latin typeface="ADLaM Display" panose="020F0502020204030204" pitchFamily="2" charset="0"/>
              <a:ea typeface="ADLaM Display" panose="020F0502020204030204" pitchFamily="2" charset="0"/>
              <a:cs typeface="ADLaM Display" panose="020F0502020204030204" pitchFamily="2" charset="0"/>
            </a:rPr>
            <a:t>₹</a:t>
          </a:r>
          <a:r>
            <a:rPr lang="en-IN" sz="2000" b="1" baseline="0">
              <a:latin typeface="ADLaM Display" panose="020F0502020204030204" pitchFamily="2" charset="0"/>
              <a:ea typeface="ADLaM Display" panose="020F0502020204030204" pitchFamily="2" charset="0"/>
              <a:cs typeface="ADLaM Display" panose="020F0502020204030204" pitchFamily="2" charset="0"/>
            </a:rPr>
            <a:t>    58125450</a:t>
          </a:r>
          <a:endParaRPr lang="en-IN" sz="20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10</xdr:col>
      <xdr:colOff>306552</xdr:colOff>
      <xdr:row>5</xdr:row>
      <xdr:rowOff>65691</xdr:rowOff>
    </xdr:from>
    <xdr:to>
      <xdr:col>13</xdr:col>
      <xdr:colOff>459827</xdr:colOff>
      <xdr:row>7</xdr:row>
      <xdr:rowOff>142329</xdr:rowOff>
    </xdr:to>
    <xdr:sp macro="" textlink="">
      <xdr:nvSpPr>
        <xdr:cNvPr id="22" name="TextBox 21">
          <a:extLst>
            <a:ext uri="{FF2B5EF4-FFF2-40B4-BE49-F238E27FC236}">
              <a16:creationId xmlns:a16="http://schemas.microsoft.com/office/drawing/2014/main" id="{FD5D8D11-BAB6-428D-AA75-86B12249D6B6}"/>
            </a:ext>
          </a:extLst>
        </xdr:cNvPr>
        <xdr:cNvSpPr txBox="1"/>
      </xdr:nvSpPr>
      <xdr:spPr>
        <a:xfrm>
          <a:off x="6402552" y="1075341"/>
          <a:ext cx="1982075" cy="49573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masis MT Pro Black" panose="02040A04050005020304" pitchFamily="18" charset="0"/>
            </a:rPr>
            <a:t>₹</a:t>
          </a:r>
          <a:r>
            <a:rPr lang="en-IN" sz="2000" b="1">
              <a:latin typeface="Amasis MT Pro Black" panose="02040A04050005020304" pitchFamily="18" charset="0"/>
            </a:rPr>
            <a:t> 12690830</a:t>
          </a:r>
        </a:p>
      </xdr:txBody>
    </xdr:sp>
    <xdr:clientData/>
  </xdr:twoCellAnchor>
  <xdr:twoCellAnchor>
    <xdr:from>
      <xdr:col>1</xdr:col>
      <xdr:colOff>162962</xdr:colOff>
      <xdr:row>12</xdr:row>
      <xdr:rowOff>63165</xdr:rowOff>
    </xdr:from>
    <xdr:to>
      <xdr:col>4</xdr:col>
      <xdr:colOff>370979</xdr:colOff>
      <xdr:row>14</xdr:row>
      <xdr:rowOff>41269</xdr:rowOff>
    </xdr:to>
    <xdr:sp macro="" textlink="">
      <xdr:nvSpPr>
        <xdr:cNvPr id="23" name="Rectangle: Rounded Corners 22">
          <a:hlinkClick xmlns:r="http://schemas.openxmlformats.org/officeDocument/2006/relationships" r:id="rId1"/>
          <a:extLst>
            <a:ext uri="{FF2B5EF4-FFF2-40B4-BE49-F238E27FC236}">
              <a16:creationId xmlns:a16="http://schemas.microsoft.com/office/drawing/2014/main" id="{5F96F79F-030E-4195-996D-3A772B8DDDD7}"/>
            </a:ext>
          </a:extLst>
        </xdr:cNvPr>
        <xdr:cNvSpPr/>
      </xdr:nvSpPr>
      <xdr:spPr>
        <a:xfrm>
          <a:off x="772562" y="2539665"/>
          <a:ext cx="2036817" cy="3972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latin typeface="ADLaM Display" panose="02010000000000000000" pitchFamily="2" charset="0"/>
              <a:ea typeface="ADLaM Display" panose="02010000000000000000" pitchFamily="2" charset="0"/>
              <a:cs typeface="ADLaM Display" panose="02010000000000000000" pitchFamily="2" charset="0"/>
            </a:rPr>
            <a:t>DESHBOARD</a:t>
          </a:r>
        </a:p>
      </xdr:txBody>
    </xdr:sp>
    <xdr:clientData/>
  </xdr:twoCellAnchor>
  <xdr:twoCellAnchor>
    <xdr:from>
      <xdr:col>1</xdr:col>
      <xdr:colOff>176436</xdr:colOff>
      <xdr:row>15</xdr:row>
      <xdr:rowOff>43792</xdr:rowOff>
    </xdr:from>
    <xdr:to>
      <xdr:col>4</xdr:col>
      <xdr:colOff>384453</xdr:colOff>
      <xdr:row>16</xdr:row>
      <xdr:rowOff>186120</xdr:rowOff>
    </xdr:to>
    <xdr:sp macro="" textlink="">
      <xdr:nvSpPr>
        <xdr:cNvPr id="24" name="Rectangle: Rounded Corners 23">
          <a:hlinkClick xmlns:r="http://schemas.openxmlformats.org/officeDocument/2006/relationships" r:id="rId6"/>
          <a:extLst>
            <a:ext uri="{FF2B5EF4-FFF2-40B4-BE49-F238E27FC236}">
              <a16:creationId xmlns:a16="http://schemas.microsoft.com/office/drawing/2014/main" id="{F26D230A-37B0-404B-A61E-3D857B507F76}"/>
            </a:ext>
          </a:extLst>
        </xdr:cNvPr>
        <xdr:cNvSpPr/>
      </xdr:nvSpPr>
      <xdr:spPr>
        <a:xfrm>
          <a:off x="786036" y="3148942"/>
          <a:ext cx="2036817" cy="3518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solidFill>
                <a:srgbClr val="FFC000"/>
              </a:solidFill>
              <a:latin typeface="Aptos Slab ExtraBold" panose="020B0004020202020204" pitchFamily="34" charset="0"/>
            </a:rPr>
            <a:t>SALE</a:t>
          </a:r>
        </a:p>
      </xdr:txBody>
    </xdr:sp>
    <xdr:clientData/>
  </xdr:twoCellAnchor>
  <xdr:twoCellAnchor>
    <xdr:from>
      <xdr:col>4</xdr:col>
      <xdr:colOff>512884</xdr:colOff>
      <xdr:row>2</xdr:row>
      <xdr:rowOff>24423</xdr:rowOff>
    </xdr:from>
    <xdr:to>
      <xdr:col>32</xdr:col>
      <xdr:colOff>439615</xdr:colOff>
      <xdr:row>40</xdr:row>
      <xdr:rowOff>12212</xdr:rowOff>
    </xdr:to>
    <xdr:sp macro="" textlink="">
      <xdr:nvSpPr>
        <xdr:cNvPr id="25" name="Rectangle 24">
          <a:extLst>
            <a:ext uri="{FF2B5EF4-FFF2-40B4-BE49-F238E27FC236}">
              <a16:creationId xmlns:a16="http://schemas.microsoft.com/office/drawing/2014/main" id="{4ECD136C-7F23-F42E-7080-11DD16F013EC}"/>
            </a:ext>
          </a:extLst>
        </xdr:cNvPr>
        <xdr:cNvSpPr/>
      </xdr:nvSpPr>
      <xdr:spPr>
        <a:xfrm>
          <a:off x="2955192" y="415192"/>
          <a:ext cx="17022885" cy="7815385"/>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61057</xdr:colOff>
      <xdr:row>10</xdr:row>
      <xdr:rowOff>73270</xdr:rowOff>
    </xdr:from>
    <xdr:to>
      <xdr:col>19</xdr:col>
      <xdr:colOff>451826</xdr:colOff>
      <xdr:row>39</xdr:row>
      <xdr:rowOff>48847</xdr:rowOff>
    </xdr:to>
    <xdr:sp macro="" textlink="">
      <xdr:nvSpPr>
        <xdr:cNvPr id="26" name="Rectangle 25">
          <a:extLst>
            <a:ext uri="{FF2B5EF4-FFF2-40B4-BE49-F238E27FC236}">
              <a16:creationId xmlns:a16="http://schemas.microsoft.com/office/drawing/2014/main" id="{EDBCA56D-7671-BBF5-4F86-37F4519559D8}"/>
            </a:ext>
          </a:extLst>
        </xdr:cNvPr>
        <xdr:cNvSpPr/>
      </xdr:nvSpPr>
      <xdr:spPr>
        <a:xfrm>
          <a:off x="3113942" y="2124808"/>
          <a:ext cx="8938846" cy="5947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219807</xdr:colOff>
      <xdr:row>13</xdr:row>
      <xdr:rowOff>48845</xdr:rowOff>
    </xdr:from>
    <xdr:to>
      <xdr:col>19</xdr:col>
      <xdr:colOff>244230</xdr:colOff>
      <xdr:row>38</xdr:row>
      <xdr:rowOff>97691</xdr:rowOff>
    </xdr:to>
    <xdr:graphicFrame macro="">
      <xdr:nvGraphicFramePr>
        <xdr:cNvPr id="27" name="Chart 26">
          <a:extLst>
            <a:ext uri="{FF2B5EF4-FFF2-40B4-BE49-F238E27FC236}">
              <a16:creationId xmlns:a16="http://schemas.microsoft.com/office/drawing/2014/main" id="{4AF43BFB-3404-4E45-B1E5-159666413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134326</xdr:colOff>
      <xdr:row>3</xdr:row>
      <xdr:rowOff>0</xdr:rowOff>
    </xdr:from>
    <xdr:to>
      <xdr:col>9</xdr:col>
      <xdr:colOff>506778</xdr:colOff>
      <xdr:row>8</xdr:row>
      <xdr:rowOff>184918</xdr:rowOff>
    </xdr:to>
    <xdr:sp macro="" textlink="">
      <xdr:nvSpPr>
        <xdr:cNvPr id="29" name="Rectangle: Rounded Corners 28">
          <a:extLst>
            <a:ext uri="{FF2B5EF4-FFF2-40B4-BE49-F238E27FC236}">
              <a16:creationId xmlns:a16="http://schemas.microsoft.com/office/drawing/2014/main" id="{EDB1BC60-02A7-418C-9DCA-1C819CA8E9BD}"/>
            </a:ext>
          </a:extLst>
        </xdr:cNvPr>
        <xdr:cNvSpPr/>
      </xdr:nvSpPr>
      <xdr:spPr>
        <a:xfrm>
          <a:off x="3187211" y="598365"/>
          <a:ext cx="2814759" cy="12228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TOTAL</a:t>
          </a:r>
          <a:r>
            <a:rPr lang="en-IN" sz="2000" baseline="0">
              <a:latin typeface="Amasis MT Pro Black" panose="02040A04050005020304" pitchFamily="18" charset="0"/>
            </a:rPr>
            <a:t> SALE</a:t>
          </a:r>
          <a:endParaRPr lang="en-IN" sz="2000">
            <a:latin typeface="Amasis MT Pro Black" panose="02040A04050005020304" pitchFamily="18" charset="0"/>
          </a:endParaRPr>
        </a:p>
      </xdr:txBody>
    </xdr:sp>
    <xdr:clientData/>
  </xdr:twoCellAnchor>
  <xdr:twoCellAnchor>
    <xdr:from>
      <xdr:col>5</xdr:col>
      <xdr:colOff>512884</xdr:colOff>
      <xdr:row>5</xdr:row>
      <xdr:rowOff>146538</xdr:rowOff>
    </xdr:from>
    <xdr:to>
      <xdr:col>9</xdr:col>
      <xdr:colOff>99376</xdr:colOff>
      <xdr:row>8</xdr:row>
      <xdr:rowOff>4631</xdr:rowOff>
    </xdr:to>
    <xdr:sp macro="" textlink="">
      <xdr:nvSpPr>
        <xdr:cNvPr id="30" name="TextBox 29">
          <a:extLst>
            <a:ext uri="{FF2B5EF4-FFF2-40B4-BE49-F238E27FC236}">
              <a16:creationId xmlns:a16="http://schemas.microsoft.com/office/drawing/2014/main" id="{7C7FC033-AB96-47ED-B6BC-B9C2AF6CE96F}"/>
            </a:ext>
          </a:extLst>
        </xdr:cNvPr>
        <xdr:cNvSpPr txBox="1"/>
      </xdr:nvSpPr>
      <xdr:spPr>
        <a:xfrm>
          <a:off x="3565769" y="1160096"/>
          <a:ext cx="2028799" cy="480881"/>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latin typeface="ADLaM Display" panose="020F0502020204030204" pitchFamily="2" charset="0"/>
              <a:ea typeface="ADLaM Display" panose="020F0502020204030204" pitchFamily="2" charset="0"/>
              <a:cs typeface="ADLaM Display" panose="020F0502020204030204" pitchFamily="2" charset="0"/>
            </a:rPr>
            <a:t>₹</a:t>
          </a:r>
          <a:r>
            <a:rPr lang="en-IN" sz="2000" b="1" baseline="0">
              <a:latin typeface="ADLaM Display" panose="020F0502020204030204" pitchFamily="2" charset="0"/>
              <a:ea typeface="ADLaM Display" panose="020F0502020204030204" pitchFamily="2" charset="0"/>
              <a:cs typeface="ADLaM Display" panose="020F0502020204030204" pitchFamily="2" charset="0"/>
            </a:rPr>
            <a:t>    58125450</a:t>
          </a:r>
          <a:endParaRPr lang="en-IN" sz="20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10</xdr:col>
      <xdr:colOff>109904</xdr:colOff>
      <xdr:row>2</xdr:row>
      <xdr:rowOff>195385</xdr:rowOff>
    </xdr:from>
    <xdr:to>
      <xdr:col>14</xdr:col>
      <xdr:colOff>482356</xdr:colOff>
      <xdr:row>8</xdr:row>
      <xdr:rowOff>172707</xdr:rowOff>
    </xdr:to>
    <xdr:sp macro="" textlink="">
      <xdr:nvSpPr>
        <xdr:cNvPr id="31" name="Rectangle: Rounded Corners 30">
          <a:extLst>
            <a:ext uri="{FF2B5EF4-FFF2-40B4-BE49-F238E27FC236}">
              <a16:creationId xmlns:a16="http://schemas.microsoft.com/office/drawing/2014/main" id="{537C55E4-908D-4069-B344-C57C18A0E690}"/>
            </a:ext>
          </a:extLst>
        </xdr:cNvPr>
        <xdr:cNvSpPr/>
      </xdr:nvSpPr>
      <xdr:spPr>
        <a:xfrm>
          <a:off x="6215673" y="586154"/>
          <a:ext cx="2814760" cy="12228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PROFIT</a:t>
          </a:r>
        </a:p>
      </xdr:txBody>
    </xdr:sp>
    <xdr:clientData/>
  </xdr:twoCellAnchor>
  <xdr:twoCellAnchor>
    <xdr:from>
      <xdr:col>10</xdr:col>
      <xdr:colOff>525096</xdr:colOff>
      <xdr:row>5</xdr:row>
      <xdr:rowOff>97692</xdr:rowOff>
    </xdr:from>
    <xdr:to>
      <xdr:col>14</xdr:col>
      <xdr:colOff>67794</xdr:colOff>
      <xdr:row>7</xdr:row>
      <xdr:rowOff>174330</xdr:rowOff>
    </xdr:to>
    <xdr:sp macro="" textlink="">
      <xdr:nvSpPr>
        <xdr:cNvPr id="35" name="TextBox 34">
          <a:extLst>
            <a:ext uri="{FF2B5EF4-FFF2-40B4-BE49-F238E27FC236}">
              <a16:creationId xmlns:a16="http://schemas.microsoft.com/office/drawing/2014/main" id="{180E32B2-D567-40FD-B3C4-896173B2C685}"/>
            </a:ext>
          </a:extLst>
        </xdr:cNvPr>
        <xdr:cNvSpPr txBox="1"/>
      </xdr:nvSpPr>
      <xdr:spPr>
        <a:xfrm>
          <a:off x="6630865" y="1111250"/>
          <a:ext cx="1985006" cy="49183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masis MT Pro Black" panose="02040A04050005020304" pitchFamily="18" charset="0"/>
            </a:rPr>
            <a:t>₹</a:t>
          </a:r>
          <a:r>
            <a:rPr lang="en-IN" sz="2000" b="1">
              <a:latin typeface="Amasis MT Pro Black" panose="02040A04050005020304" pitchFamily="18" charset="0"/>
            </a:rPr>
            <a:t> 12690830</a:t>
          </a:r>
        </a:p>
      </xdr:txBody>
    </xdr:sp>
    <xdr:clientData/>
  </xdr:twoCellAnchor>
  <xdr:twoCellAnchor>
    <xdr:from>
      <xdr:col>6</xdr:col>
      <xdr:colOff>427403</xdr:colOff>
      <xdr:row>10</xdr:row>
      <xdr:rowOff>170963</xdr:rowOff>
    </xdr:from>
    <xdr:to>
      <xdr:col>16</xdr:col>
      <xdr:colOff>268654</xdr:colOff>
      <xdr:row>12</xdr:row>
      <xdr:rowOff>170962</xdr:rowOff>
    </xdr:to>
    <xdr:sp macro="" textlink="">
      <xdr:nvSpPr>
        <xdr:cNvPr id="36" name="TextBox 35">
          <a:extLst>
            <a:ext uri="{FF2B5EF4-FFF2-40B4-BE49-F238E27FC236}">
              <a16:creationId xmlns:a16="http://schemas.microsoft.com/office/drawing/2014/main" id="{62983BA6-9F05-F7B2-7839-24F33D0AC51B}"/>
            </a:ext>
          </a:extLst>
        </xdr:cNvPr>
        <xdr:cNvSpPr txBox="1"/>
      </xdr:nvSpPr>
      <xdr:spPr>
        <a:xfrm>
          <a:off x="4090865" y="2222501"/>
          <a:ext cx="5947020" cy="41519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masis MT Pro Black" panose="02040A04050005020304" pitchFamily="18" charset="0"/>
            </a:rPr>
            <a:t>                     </a:t>
          </a:r>
          <a:r>
            <a:rPr lang="en-IN" sz="2000" b="0">
              <a:latin typeface="Amasis MT Pro Black" panose="02040A04050005020304" pitchFamily="18" charset="0"/>
            </a:rPr>
            <a:t>SALE PERSONS VS SALES</a:t>
          </a:r>
        </a:p>
      </xdr:txBody>
    </xdr:sp>
    <xdr:clientData/>
  </xdr:twoCellAnchor>
  <xdr:twoCellAnchor editAs="oneCell">
    <xdr:from>
      <xdr:col>15</xdr:col>
      <xdr:colOff>109904</xdr:colOff>
      <xdr:row>3</xdr:row>
      <xdr:rowOff>1</xdr:rowOff>
    </xdr:from>
    <xdr:to>
      <xdr:col>28</xdr:col>
      <xdr:colOff>464038</xdr:colOff>
      <xdr:row>8</xdr:row>
      <xdr:rowOff>170962</xdr:rowOff>
    </xdr:to>
    <mc:AlternateContent xmlns:mc="http://schemas.openxmlformats.org/markup-compatibility/2006" xmlns:a14="http://schemas.microsoft.com/office/drawing/2010/main">
      <mc:Choice Requires="a14">
        <xdr:graphicFrame macro="">
          <xdr:nvGraphicFramePr>
            <xdr:cNvPr id="37" name="Salesperson 2">
              <a:extLst>
                <a:ext uri="{FF2B5EF4-FFF2-40B4-BE49-F238E27FC236}">
                  <a16:creationId xmlns:a16="http://schemas.microsoft.com/office/drawing/2014/main" id="{EAC04DCB-4CEC-45FA-B503-DB8929D3D6D0}"/>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9268558" y="598366"/>
              <a:ext cx="8291634" cy="1208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10</xdr:row>
      <xdr:rowOff>73270</xdr:rowOff>
    </xdr:from>
    <xdr:to>
      <xdr:col>32</xdr:col>
      <xdr:colOff>207595</xdr:colOff>
      <xdr:row>39</xdr:row>
      <xdr:rowOff>36634</xdr:rowOff>
    </xdr:to>
    <xdr:sp macro="" textlink="">
      <xdr:nvSpPr>
        <xdr:cNvPr id="38" name="Rectangle 37">
          <a:extLst>
            <a:ext uri="{FF2B5EF4-FFF2-40B4-BE49-F238E27FC236}">
              <a16:creationId xmlns:a16="http://schemas.microsoft.com/office/drawing/2014/main" id="{40555058-09BF-CB66-6EA5-16530C26EE42}"/>
            </a:ext>
          </a:extLst>
        </xdr:cNvPr>
        <xdr:cNvSpPr/>
      </xdr:nvSpPr>
      <xdr:spPr>
        <a:xfrm>
          <a:off x="12211538" y="2124808"/>
          <a:ext cx="7534519" cy="59348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183173</xdr:colOff>
      <xdr:row>13</xdr:row>
      <xdr:rowOff>48846</xdr:rowOff>
    </xdr:from>
    <xdr:to>
      <xdr:col>32</xdr:col>
      <xdr:colOff>24423</xdr:colOff>
      <xdr:row>38</xdr:row>
      <xdr:rowOff>85481</xdr:rowOff>
    </xdr:to>
    <xdr:graphicFrame macro="">
      <xdr:nvGraphicFramePr>
        <xdr:cNvPr id="39" name="Chart 38">
          <a:extLst>
            <a:ext uri="{FF2B5EF4-FFF2-40B4-BE49-F238E27FC236}">
              <a16:creationId xmlns:a16="http://schemas.microsoft.com/office/drawing/2014/main" id="{30E11996-29C2-472A-82C2-DFE45BC1F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305289</xdr:colOff>
      <xdr:row>10</xdr:row>
      <xdr:rowOff>170962</xdr:rowOff>
    </xdr:from>
    <xdr:to>
      <xdr:col>31</xdr:col>
      <xdr:colOff>36634</xdr:colOff>
      <xdr:row>12</xdr:row>
      <xdr:rowOff>183173</xdr:rowOff>
    </xdr:to>
    <xdr:sp macro="" textlink="">
      <xdr:nvSpPr>
        <xdr:cNvPr id="42" name="TextBox 41">
          <a:extLst>
            <a:ext uri="{FF2B5EF4-FFF2-40B4-BE49-F238E27FC236}">
              <a16:creationId xmlns:a16="http://schemas.microsoft.com/office/drawing/2014/main" id="{96C77CDB-9AF6-D14D-735C-481D600859FA}"/>
            </a:ext>
          </a:extLst>
        </xdr:cNvPr>
        <xdr:cNvSpPr txBox="1"/>
      </xdr:nvSpPr>
      <xdr:spPr>
        <a:xfrm>
          <a:off x="13127404" y="2222500"/>
          <a:ext cx="5837115" cy="42740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Aptos Slab ExtraBold" panose="020B0004020202020204" pitchFamily="34" charset="0"/>
            </a:rPr>
            <a:t>                        </a:t>
          </a:r>
          <a:r>
            <a:rPr lang="en-IN" sz="2000">
              <a:latin typeface="Aptos Slab ExtraBold" panose="020B0004020202020204" pitchFamily="34" charset="0"/>
            </a:rPr>
            <a:t>SALE PERSON VS PROFIT</a:t>
          </a:r>
        </a:p>
      </xdr:txBody>
    </xdr:sp>
    <xdr:clientData/>
  </xdr:twoCellAnchor>
  <xdr:twoCellAnchor>
    <xdr:from>
      <xdr:col>1</xdr:col>
      <xdr:colOff>170961</xdr:colOff>
      <xdr:row>17</xdr:row>
      <xdr:rowOff>207595</xdr:rowOff>
    </xdr:from>
    <xdr:to>
      <xdr:col>4</xdr:col>
      <xdr:colOff>402980</xdr:colOff>
      <xdr:row>19</xdr:row>
      <xdr:rowOff>158749</xdr:rowOff>
    </xdr:to>
    <xdr:sp macro="" textlink="">
      <xdr:nvSpPr>
        <xdr:cNvPr id="44" name="Rectangle: Rounded Corners 43">
          <a:hlinkClick xmlns:r="http://schemas.openxmlformats.org/officeDocument/2006/relationships" r:id="rId6"/>
          <a:extLst>
            <a:ext uri="{FF2B5EF4-FFF2-40B4-BE49-F238E27FC236}">
              <a16:creationId xmlns:a16="http://schemas.microsoft.com/office/drawing/2014/main" id="{3FB3C2A0-70A1-3C79-95BD-BBA88F310323}"/>
            </a:ext>
          </a:extLst>
        </xdr:cNvPr>
        <xdr:cNvSpPr/>
      </xdr:nvSpPr>
      <xdr:spPr>
        <a:xfrm>
          <a:off x="781538" y="3712307"/>
          <a:ext cx="2063750" cy="366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rgbClr val="FFC000"/>
              </a:solidFill>
              <a:latin typeface="ADLaM Display" panose="02010000000000000000" pitchFamily="2" charset="0"/>
              <a:ea typeface="ADLaM Display" panose="02010000000000000000" pitchFamily="2" charset="0"/>
              <a:cs typeface="ADLaM Display" panose="02010000000000000000" pitchFamily="2" charset="0"/>
            </a:rPr>
            <a:t>SALE PERSON</a:t>
          </a:r>
        </a:p>
      </xdr:txBody>
    </xdr:sp>
    <xdr:clientData/>
  </xdr:twoCellAnchor>
  <xdr:twoCellAnchor editAs="oneCell">
    <xdr:from>
      <xdr:col>29</xdr:col>
      <xdr:colOff>170962</xdr:colOff>
      <xdr:row>2</xdr:row>
      <xdr:rowOff>48847</xdr:rowOff>
    </xdr:from>
    <xdr:to>
      <xdr:col>32</xdr:col>
      <xdr:colOff>170961</xdr:colOff>
      <xdr:row>10</xdr:row>
      <xdr:rowOff>46536</xdr:rowOff>
    </xdr:to>
    <xdr:pic>
      <xdr:nvPicPr>
        <xdr:cNvPr id="49" name="Picture 48">
          <a:extLst>
            <a:ext uri="{FF2B5EF4-FFF2-40B4-BE49-F238E27FC236}">
              <a16:creationId xmlns:a16="http://schemas.microsoft.com/office/drawing/2014/main" id="{1269DE4A-DCD1-A9D1-8181-4043891C87B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7877693" y="439616"/>
          <a:ext cx="1831730" cy="1658458"/>
        </a:xfrm>
        <a:prstGeom prst="rect">
          <a:avLst/>
        </a:prstGeom>
      </xdr:spPr>
    </xdr:pic>
    <xdr:clientData/>
  </xdr:twoCellAnchor>
  <xdr:twoCellAnchor>
    <xdr:from>
      <xdr:col>1</xdr:col>
      <xdr:colOff>185245</xdr:colOff>
      <xdr:row>20</xdr:row>
      <xdr:rowOff>153378</xdr:rowOff>
    </xdr:from>
    <xdr:to>
      <xdr:col>4</xdr:col>
      <xdr:colOff>417264</xdr:colOff>
      <xdr:row>22</xdr:row>
      <xdr:rowOff>104532</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4007D8C9-3576-497A-8FC0-B6323086B547}"/>
            </a:ext>
          </a:extLst>
        </xdr:cNvPr>
        <xdr:cNvSpPr/>
      </xdr:nvSpPr>
      <xdr:spPr>
        <a:xfrm>
          <a:off x="795822" y="4280878"/>
          <a:ext cx="2063750" cy="366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rgbClr val="FFC000"/>
              </a:solidFill>
              <a:latin typeface="ADLaM Display" panose="02010000000000000000" pitchFamily="2" charset="0"/>
              <a:ea typeface="ADLaM Display" panose="02010000000000000000" pitchFamily="2" charset="0"/>
              <a:cs typeface="ADLaM Display" panose="02010000000000000000" pitchFamily="2" charset="0"/>
            </a:rPr>
            <a:t>REGION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76319</xdr:colOff>
      <xdr:row>0</xdr:row>
      <xdr:rowOff>190012</xdr:rowOff>
    </xdr:from>
    <xdr:to>
      <xdr:col>33</xdr:col>
      <xdr:colOff>33808</xdr:colOff>
      <xdr:row>40</xdr:row>
      <xdr:rowOff>157006</xdr:rowOff>
    </xdr:to>
    <xdr:sp macro="" textlink="">
      <xdr:nvSpPr>
        <xdr:cNvPr id="2" name="Rectangle 1">
          <a:extLst>
            <a:ext uri="{FF2B5EF4-FFF2-40B4-BE49-F238E27FC236}">
              <a16:creationId xmlns:a16="http://schemas.microsoft.com/office/drawing/2014/main" id="{39C103D7-D22D-14EC-FF98-02496C1E40AD}"/>
            </a:ext>
          </a:extLst>
        </xdr:cNvPr>
        <xdr:cNvSpPr/>
      </xdr:nvSpPr>
      <xdr:spPr>
        <a:xfrm>
          <a:off x="686896" y="190012"/>
          <a:ext cx="19495950" cy="8185359"/>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60000"/>
                <a:lumOff val="40000"/>
              </a:schemeClr>
            </a:solidFill>
          </a:endParaRPr>
        </a:p>
      </xdr:txBody>
    </xdr:sp>
    <xdr:clientData/>
  </xdr:twoCellAnchor>
  <xdr:twoCellAnchor>
    <xdr:from>
      <xdr:col>4</xdr:col>
      <xdr:colOff>500289</xdr:colOff>
      <xdr:row>2</xdr:row>
      <xdr:rowOff>22679</xdr:rowOff>
    </xdr:from>
    <xdr:to>
      <xdr:col>32</xdr:col>
      <xdr:colOff>459828</xdr:colOff>
      <xdr:row>40</xdr:row>
      <xdr:rowOff>34018</xdr:rowOff>
    </xdr:to>
    <xdr:sp macro="" textlink="">
      <xdr:nvSpPr>
        <xdr:cNvPr id="3" name="Rectangle 2">
          <a:extLst>
            <a:ext uri="{FF2B5EF4-FFF2-40B4-BE49-F238E27FC236}">
              <a16:creationId xmlns:a16="http://schemas.microsoft.com/office/drawing/2014/main" id="{8BCCC407-E272-4E1E-5DE7-46DBC807ADE4}"/>
            </a:ext>
          </a:extLst>
        </xdr:cNvPr>
        <xdr:cNvSpPr/>
      </xdr:nvSpPr>
      <xdr:spPr>
        <a:xfrm>
          <a:off x="2952703" y="394920"/>
          <a:ext cx="17126435" cy="7083926"/>
        </a:xfrm>
        <a:prstGeom prst="rect">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578304</xdr:colOff>
      <xdr:row>2</xdr:row>
      <xdr:rowOff>124732</xdr:rowOff>
    </xdr:from>
    <xdr:to>
      <xdr:col>9</xdr:col>
      <xdr:colOff>340179</xdr:colOff>
      <xdr:row>8</xdr:row>
      <xdr:rowOff>102054</xdr:rowOff>
    </xdr:to>
    <xdr:sp macro="" textlink="">
      <xdr:nvSpPr>
        <xdr:cNvPr id="4" name="Rectangle: Rounded Corners 3">
          <a:extLst>
            <a:ext uri="{FF2B5EF4-FFF2-40B4-BE49-F238E27FC236}">
              <a16:creationId xmlns:a16="http://schemas.microsoft.com/office/drawing/2014/main" id="{C79D5E9D-B541-9C78-DAB5-366C52F14978}"/>
            </a:ext>
          </a:extLst>
        </xdr:cNvPr>
        <xdr:cNvSpPr/>
      </xdr:nvSpPr>
      <xdr:spPr>
        <a:xfrm>
          <a:off x="3027590" y="510268"/>
          <a:ext cx="2823482" cy="11339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TOTAL</a:t>
          </a:r>
          <a:r>
            <a:rPr lang="en-IN" sz="2000" baseline="0">
              <a:latin typeface="Amasis MT Pro Black" panose="02040A04050005020304" pitchFamily="18" charset="0"/>
            </a:rPr>
            <a:t> SALE</a:t>
          </a:r>
          <a:endParaRPr lang="en-IN" sz="2000">
            <a:latin typeface="Amasis MT Pro Black" panose="02040A04050005020304" pitchFamily="18" charset="0"/>
          </a:endParaRPr>
        </a:p>
      </xdr:txBody>
    </xdr:sp>
    <xdr:clientData/>
  </xdr:twoCellAnchor>
  <xdr:twoCellAnchor>
    <xdr:from>
      <xdr:col>9</xdr:col>
      <xdr:colOff>488950</xdr:colOff>
      <xdr:row>2</xdr:row>
      <xdr:rowOff>136072</xdr:rowOff>
    </xdr:from>
    <xdr:to>
      <xdr:col>14</xdr:col>
      <xdr:colOff>250825</xdr:colOff>
      <xdr:row>8</xdr:row>
      <xdr:rowOff>113394</xdr:rowOff>
    </xdr:to>
    <xdr:sp macro="" textlink="">
      <xdr:nvSpPr>
        <xdr:cNvPr id="6" name="Rectangle: Rounded Corners 5">
          <a:extLst>
            <a:ext uri="{FF2B5EF4-FFF2-40B4-BE49-F238E27FC236}">
              <a16:creationId xmlns:a16="http://schemas.microsoft.com/office/drawing/2014/main" id="{264EF515-6197-4A54-A931-9D8EEA24A2EB}"/>
            </a:ext>
          </a:extLst>
        </xdr:cNvPr>
        <xdr:cNvSpPr/>
      </xdr:nvSpPr>
      <xdr:spPr>
        <a:xfrm>
          <a:off x="5999843" y="521608"/>
          <a:ext cx="2823482" cy="11339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masis MT Pro Black" panose="02040A04050005020304" pitchFamily="18" charset="0"/>
            </a:rPr>
            <a:t>PROFIT</a:t>
          </a:r>
        </a:p>
      </xdr:txBody>
    </xdr:sp>
    <xdr:clientData/>
  </xdr:twoCellAnchor>
  <xdr:twoCellAnchor>
    <xdr:from>
      <xdr:col>4</xdr:col>
      <xdr:colOff>566965</xdr:colOff>
      <xdr:row>10</xdr:row>
      <xdr:rowOff>136072</xdr:rowOff>
    </xdr:from>
    <xdr:to>
      <xdr:col>14</xdr:col>
      <xdr:colOff>262759</xdr:colOff>
      <xdr:row>39</xdr:row>
      <xdr:rowOff>113394</xdr:rowOff>
    </xdr:to>
    <xdr:sp macro="" textlink="">
      <xdr:nvSpPr>
        <xdr:cNvPr id="7" name="Rectangle 6">
          <a:extLst>
            <a:ext uri="{FF2B5EF4-FFF2-40B4-BE49-F238E27FC236}">
              <a16:creationId xmlns:a16="http://schemas.microsoft.com/office/drawing/2014/main" id="{F78C143F-300E-BC93-9E77-3526C4BDE57C}"/>
            </a:ext>
          </a:extLst>
        </xdr:cNvPr>
        <xdr:cNvSpPr/>
      </xdr:nvSpPr>
      <xdr:spPr>
        <a:xfrm>
          <a:off x="3019379" y="1997279"/>
          <a:ext cx="5826828" cy="537482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119647</xdr:colOff>
      <xdr:row>12</xdr:row>
      <xdr:rowOff>101662</xdr:rowOff>
    </xdr:from>
    <xdr:to>
      <xdr:col>14</xdr:col>
      <xdr:colOff>85481</xdr:colOff>
      <xdr:row>25</xdr:row>
      <xdr:rowOff>158359</xdr:rowOff>
    </xdr:to>
    <xdr:graphicFrame macro="">
      <xdr:nvGraphicFramePr>
        <xdr:cNvPr id="10" name="Chart 9">
          <a:extLst>
            <a:ext uri="{FF2B5EF4-FFF2-40B4-BE49-F238E27FC236}">
              <a16:creationId xmlns:a16="http://schemas.microsoft.com/office/drawing/2014/main" id="{3CCAB86D-A21E-463C-A4A3-2FE0525AB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340178</xdr:colOff>
      <xdr:row>3</xdr:row>
      <xdr:rowOff>11340</xdr:rowOff>
    </xdr:from>
    <xdr:to>
      <xdr:col>20</xdr:col>
      <xdr:colOff>207281</xdr:colOff>
      <xdr:row>7</xdr:row>
      <xdr:rowOff>37147</xdr:rowOff>
    </xdr:to>
    <mc:AlternateContent xmlns:mc="http://schemas.openxmlformats.org/markup-compatibility/2006" xmlns:a14="http://schemas.microsoft.com/office/drawing/2010/main">
      <mc:Choice Requires="a14">
        <xdr:graphicFrame macro="">
          <xdr:nvGraphicFramePr>
            <xdr:cNvPr id="12" name="Product Name 2">
              <a:extLst>
                <a:ext uri="{FF2B5EF4-FFF2-40B4-BE49-F238E27FC236}">
                  <a16:creationId xmlns:a16="http://schemas.microsoft.com/office/drawing/2014/main" id="{27FBA064-7319-41E7-9E4D-47919CD23C21}"/>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8923626" y="569702"/>
              <a:ext cx="3545724" cy="857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578302</xdr:colOff>
      <xdr:row>10</xdr:row>
      <xdr:rowOff>147412</xdr:rowOff>
    </xdr:from>
    <xdr:to>
      <xdr:col>11</xdr:col>
      <xdr:colOff>510267</xdr:colOff>
      <xdr:row>12</xdr:row>
      <xdr:rowOff>11341</xdr:rowOff>
    </xdr:to>
    <xdr:sp macro="" textlink="">
      <xdr:nvSpPr>
        <xdr:cNvPr id="13" name="TextBox 12">
          <a:extLst>
            <a:ext uri="{FF2B5EF4-FFF2-40B4-BE49-F238E27FC236}">
              <a16:creationId xmlns:a16="http://schemas.microsoft.com/office/drawing/2014/main" id="{104CC7D7-37B3-1E8E-A940-FC055E390468}"/>
            </a:ext>
          </a:extLst>
        </xdr:cNvPr>
        <xdr:cNvSpPr txBox="1"/>
      </xdr:nvSpPr>
      <xdr:spPr>
        <a:xfrm>
          <a:off x="3027588" y="2075091"/>
          <a:ext cx="4218215" cy="24946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                       PRODUCT VS SALES</a:t>
          </a:r>
        </a:p>
      </xdr:txBody>
    </xdr:sp>
    <xdr:clientData/>
  </xdr:twoCellAnchor>
  <xdr:twoCellAnchor>
    <xdr:from>
      <xdr:col>5</xdr:col>
      <xdr:colOff>131771</xdr:colOff>
      <xdr:row>27</xdr:row>
      <xdr:rowOff>136855</xdr:rowOff>
    </xdr:from>
    <xdr:to>
      <xdr:col>14</xdr:col>
      <xdr:colOff>142328</xdr:colOff>
      <xdr:row>38</xdr:row>
      <xdr:rowOff>164225</xdr:rowOff>
    </xdr:to>
    <xdr:graphicFrame macro="">
      <xdr:nvGraphicFramePr>
        <xdr:cNvPr id="15" name="Chart 14">
          <a:extLst>
            <a:ext uri="{FF2B5EF4-FFF2-40B4-BE49-F238E27FC236}">
              <a16:creationId xmlns:a16="http://schemas.microsoft.com/office/drawing/2014/main" id="{2540F527-B06C-4708-8739-DB4F37B2D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341539</xdr:colOff>
      <xdr:row>7</xdr:row>
      <xdr:rowOff>181430</xdr:rowOff>
    </xdr:from>
    <xdr:to>
      <xdr:col>20</xdr:col>
      <xdr:colOff>239485</xdr:colOff>
      <xdr:row>10</xdr:row>
      <xdr:rowOff>197070</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6A5882A2-D067-4217-97F7-56EF878FF00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924987" y="1484275"/>
              <a:ext cx="3576567" cy="639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464910</xdr:colOff>
      <xdr:row>25</xdr:row>
      <xdr:rowOff>170089</xdr:rowOff>
    </xdr:from>
    <xdr:to>
      <xdr:col>12</xdr:col>
      <xdr:colOff>204107</xdr:colOff>
      <xdr:row>27</xdr:row>
      <xdr:rowOff>98534</xdr:rowOff>
    </xdr:to>
    <xdr:sp macro="" textlink="">
      <xdr:nvSpPr>
        <xdr:cNvPr id="17" name="TextBox 16">
          <a:extLst>
            <a:ext uri="{FF2B5EF4-FFF2-40B4-BE49-F238E27FC236}">
              <a16:creationId xmlns:a16="http://schemas.microsoft.com/office/drawing/2014/main" id="{42F8A1A1-E950-6415-6B25-9789C9401A80}"/>
            </a:ext>
          </a:extLst>
        </xdr:cNvPr>
        <xdr:cNvSpPr txBox="1"/>
      </xdr:nvSpPr>
      <xdr:spPr>
        <a:xfrm>
          <a:off x="4143531" y="4823106"/>
          <a:ext cx="3417817" cy="30068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     CATEGORY VS SALES</a:t>
          </a:r>
        </a:p>
      </xdr:txBody>
    </xdr:sp>
    <xdr:clientData/>
  </xdr:twoCellAnchor>
  <xdr:twoCellAnchor>
    <xdr:from>
      <xdr:col>14</xdr:col>
      <xdr:colOff>426984</xdr:colOff>
      <xdr:row>12</xdr:row>
      <xdr:rowOff>43793</xdr:rowOff>
    </xdr:from>
    <xdr:to>
      <xdr:col>26</xdr:col>
      <xdr:colOff>437932</xdr:colOff>
      <xdr:row>39</xdr:row>
      <xdr:rowOff>87586</xdr:rowOff>
    </xdr:to>
    <xdr:sp macro="" textlink="">
      <xdr:nvSpPr>
        <xdr:cNvPr id="18" name="Rectangle 17">
          <a:extLst>
            <a:ext uri="{FF2B5EF4-FFF2-40B4-BE49-F238E27FC236}">
              <a16:creationId xmlns:a16="http://schemas.microsoft.com/office/drawing/2014/main" id="{49EB44AD-35E4-034F-C30D-66B476E3A7F4}"/>
            </a:ext>
          </a:extLst>
        </xdr:cNvPr>
        <xdr:cNvSpPr/>
      </xdr:nvSpPr>
      <xdr:spPr>
        <a:xfrm>
          <a:off x="9010432" y="2277241"/>
          <a:ext cx="7368190" cy="50690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54741</xdr:colOff>
      <xdr:row>14</xdr:row>
      <xdr:rowOff>153274</xdr:rowOff>
    </xdr:from>
    <xdr:to>
      <xdr:col>26</xdr:col>
      <xdr:colOff>229913</xdr:colOff>
      <xdr:row>38</xdr:row>
      <xdr:rowOff>131379</xdr:rowOff>
    </xdr:to>
    <xdr:graphicFrame macro="">
      <xdr:nvGraphicFramePr>
        <xdr:cNvPr id="20" name="Chart 19">
          <a:extLst>
            <a:ext uri="{FF2B5EF4-FFF2-40B4-BE49-F238E27FC236}">
              <a16:creationId xmlns:a16="http://schemas.microsoft.com/office/drawing/2014/main" id="{6781BF26-1055-4565-9415-F00B08962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336065</xdr:colOff>
      <xdr:row>3</xdr:row>
      <xdr:rowOff>22679</xdr:rowOff>
    </xdr:from>
    <xdr:to>
      <xdr:col>29</xdr:col>
      <xdr:colOff>133084</xdr:colOff>
      <xdr:row>10</xdr:row>
      <xdr:rowOff>87587</xdr:rowOff>
    </xdr:to>
    <mc:AlternateContent xmlns:mc="http://schemas.openxmlformats.org/markup-compatibility/2006" xmlns:a14="http://schemas.microsoft.com/office/drawing/2010/main">
      <mc:Choice Requires="a14">
        <xdr:graphicFrame macro="">
          <xdr:nvGraphicFramePr>
            <xdr:cNvPr id="22" name="Month 3">
              <a:extLst>
                <a:ext uri="{FF2B5EF4-FFF2-40B4-BE49-F238E27FC236}">
                  <a16:creationId xmlns:a16="http://schemas.microsoft.com/office/drawing/2014/main" id="{28FF1781-6B51-453C-9F00-2D7A11B7C40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2598134" y="581041"/>
              <a:ext cx="5314950" cy="1521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109482</xdr:colOff>
      <xdr:row>12</xdr:row>
      <xdr:rowOff>142328</xdr:rowOff>
    </xdr:from>
    <xdr:to>
      <xdr:col>24</xdr:col>
      <xdr:colOff>547412</xdr:colOff>
      <xdr:row>14</xdr:row>
      <xdr:rowOff>87585</xdr:rowOff>
    </xdr:to>
    <xdr:sp macro="" textlink="">
      <xdr:nvSpPr>
        <xdr:cNvPr id="23" name="TextBox 22">
          <a:extLst>
            <a:ext uri="{FF2B5EF4-FFF2-40B4-BE49-F238E27FC236}">
              <a16:creationId xmlns:a16="http://schemas.microsoft.com/office/drawing/2014/main" id="{2F673422-D2B4-E8C7-027D-CB99023C9077}"/>
            </a:ext>
          </a:extLst>
        </xdr:cNvPr>
        <xdr:cNvSpPr txBox="1"/>
      </xdr:nvSpPr>
      <xdr:spPr>
        <a:xfrm>
          <a:off x="9919137" y="2375776"/>
          <a:ext cx="5342758" cy="31749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masis MT Pro Black" panose="02040A04050005020304" pitchFamily="18" charset="0"/>
            </a:rPr>
            <a:t>MONTH VS SALES</a:t>
          </a:r>
        </a:p>
      </xdr:txBody>
    </xdr:sp>
    <xdr:clientData/>
  </xdr:twoCellAnchor>
  <xdr:twoCellAnchor>
    <xdr:from>
      <xdr:col>26</xdr:col>
      <xdr:colOff>591208</xdr:colOff>
      <xdr:row>12</xdr:row>
      <xdr:rowOff>54742</xdr:rowOff>
    </xdr:from>
    <xdr:to>
      <xdr:col>32</xdr:col>
      <xdr:colOff>339398</xdr:colOff>
      <xdr:row>39</xdr:row>
      <xdr:rowOff>76638</xdr:rowOff>
    </xdr:to>
    <xdr:sp macro="" textlink="">
      <xdr:nvSpPr>
        <xdr:cNvPr id="26" name="Rectangle 25">
          <a:extLst>
            <a:ext uri="{FF2B5EF4-FFF2-40B4-BE49-F238E27FC236}">
              <a16:creationId xmlns:a16="http://schemas.microsoft.com/office/drawing/2014/main" id="{BD2D0159-70BD-717F-4B12-D96F53BA1EA7}"/>
            </a:ext>
          </a:extLst>
        </xdr:cNvPr>
        <xdr:cNvSpPr/>
      </xdr:nvSpPr>
      <xdr:spPr>
        <a:xfrm>
          <a:off x="16531898" y="2288190"/>
          <a:ext cx="3426810" cy="504715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87586</xdr:colOff>
      <xdr:row>14</xdr:row>
      <xdr:rowOff>131379</xdr:rowOff>
    </xdr:from>
    <xdr:to>
      <xdr:col>32</xdr:col>
      <xdr:colOff>244230</xdr:colOff>
      <xdr:row>38</xdr:row>
      <xdr:rowOff>142329</xdr:rowOff>
    </xdr:to>
    <xdr:graphicFrame macro="">
      <xdr:nvGraphicFramePr>
        <xdr:cNvPr id="27" name="Chart 26">
          <a:extLst>
            <a:ext uri="{FF2B5EF4-FFF2-40B4-BE49-F238E27FC236}">
              <a16:creationId xmlns:a16="http://schemas.microsoft.com/office/drawing/2014/main" id="{D8752AA8-5219-41A4-8EAE-CC7E97CF8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303221</xdr:colOff>
      <xdr:row>3</xdr:row>
      <xdr:rowOff>22679</xdr:rowOff>
    </xdr:from>
    <xdr:to>
      <xdr:col>32</xdr:col>
      <xdr:colOff>292711</xdr:colOff>
      <xdr:row>10</xdr:row>
      <xdr:rowOff>100084</xdr:rowOff>
    </xdr:to>
    <mc:AlternateContent xmlns:mc="http://schemas.openxmlformats.org/markup-compatibility/2006" xmlns:a14="http://schemas.microsoft.com/office/drawing/2010/main">
      <mc:Choice Requires="a14">
        <xdr:graphicFrame macro="">
          <xdr:nvGraphicFramePr>
            <xdr:cNvPr id="28" name="Category 4">
              <a:extLst>
                <a:ext uri="{FF2B5EF4-FFF2-40B4-BE49-F238E27FC236}">
                  <a16:creationId xmlns:a16="http://schemas.microsoft.com/office/drawing/2014/main" id="{D89E3687-6604-431D-B7CC-13EBB2585D2A}"/>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8083221" y="581041"/>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426983</xdr:colOff>
      <xdr:row>12</xdr:row>
      <xdr:rowOff>120431</xdr:rowOff>
    </xdr:from>
    <xdr:to>
      <xdr:col>32</xdr:col>
      <xdr:colOff>208017</xdr:colOff>
      <xdr:row>13</xdr:row>
      <xdr:rowOff>186120</xdr:rowOff>
    </xdr:to>
    <xdr:sp macro="" textlink="">
      <xdr:nvSpPr>
        <xdr:cNvPr id="5" name="TextBox 4">
          <a:extLst>
            <a:ext uri="{FF2B5EF4-FFF2-40B4-BE49-F238E27FC236}">
              <a16:creationId xmlns:a16="http://schemas.microsoft.com/office/drawing/2014/main" id="{45DA1E94-C898-FEDE-EA1B-092D248FFEF6}"/>
            </a:ext>
          </a:extLst>
        </xdr:cNvPr>
        <xdr:cNvSpPr txBox="1"/>
      </xdr:nvSpPr>
      <xdr:spPr>
        <a:xfrm>
          <a:off x="16980776" y="2353879"/>
          <a:ext cx="2846551" cy="25181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masis MT Pro Black" panose="02040A04050005020304" pitchFamily="18" charset="0"/>
            </a:rPr>
            <a:t>CATEGORY VS PROFIT</a:t>
          </a:r>
        </a:p>
      </xdr:txBody>
    </xdr:sp>
    <xdr:clientData/>
  </xdr:twoCellAnchor>
  <xdr:twoCellAnchor>
    <xdr:from>
      <xdr:col>5</xdr:col>
      <xdr:colOff>405086</xdr:colOff>
      <xdr:row>5</xdr:row>
      <xdr:rowOff>65690</xdr:rowOff>
    </xdr:from>
    <xdr:to>
      <xdr:col>8</xdr:col>
      <xdr:colOff>602155</xdr:colOff>
      <xdr:row>7</xdr:row>
      <xdr:rowOff>131379</xdr:rowOff>
    </xdr:to>
    <xdr:sp macro="" textlink="">
      <xdr:nvSpPr>
        <xdr:cNvPr id="8" name="TextBox 7">
          <a:extLst>
            <a:ext uri="{FF2B5EF4-FFF2-40B4-BE49-F238E27FC236}">
              <a16:creationId xmlns:a16="http://schemas.microsoft.com/office/drawing/2014/main" id="{4FCE199D-0371-605B-1E83-C4FBEC02DE21}"/>
            </a:ext>
          </a:extLst>
        </xdr:cNvPr>
        <xdr:cNvSpPr txBox="1"/>
      </xdr:nvSpPr>
      <xdr:spPr>
        <a:xfrm>
          <a:off x="3470603" y="996293"/>
          <a:ext cx="2036380" cy="437931"/>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latin typeface="ADLaM Display" panose="020F0502020204030204" pitchFamily="2" charset="0"/>
              <a:ea typeface="ADLaM Display" panose="020F0502020204030204" pitchFamily="2" charset="0"/>
              <a:cs typeface="ADLaM Display" panose="020F0502020204030204" pitchFamily="2" charset="0"/>
            </a:rPr>
            <a:t>₹</a:t>
          </a:r>
          <a:r>
            <a:rPr lang="en-IN" sz="2000" b="1" baseline="0">
              <a:latin typeface="ADLaM Display" panose="020F0502020204030204" pitchFamily="2" charset="0"/>
              <a:ea typeface="ADLaM Display" panose="020F0502020204030204" pitchFamily="2" charset="0"/>
              <a:cs typeface="ADLaM Display" panose="020F0502020204030204" pitchFamily="2" charset="0"/>
            </a:rPr>
            <a:t>    58125450</a:t>
          </a:r>
          <a:endParaRPr lang="en-IN" sz="2000" b="1">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10</xdr:col>
      <xdr:colOff>306552</xdr:colOff>
      <xdr:row>5</xdr:row>
      <xdr:rowOff>65691</xdr:rowOff>
    </xdr:from>
    <xdr:to>
      <xdr:col>13</xdr:col>
      <xdr:colOff>459827</xdr:colOff>
      <xdr:row>7</xdr:row>
      <xdr:rowOff>142329</xdr:rowOff>
    </xdr:to>
    <xdr:sp macro="" textlink="">
      <xdr:nvSpPr>
        <xdr:cNvPr id="9" name="TextBox 8">
          <a:extLst>
            <a:ext uri="{FF2B5EF4-FFF2-40B4-BE49-F238E27FC236}">
              <a16:creationId xmlns:a16="http://schemas.microsoft.com/office/drawing/2014/main" id="{E64B9161-187B-EBCF-6EE7-7E19026AF138}"/>
            </a:ext>
          </a:extLst>
        </xdr:cNvPr>
        <xdr:cNvSpPr txBox="1"/>
      </xdr:nvSpPr>
      <xdr:spPr>
        <a:xfrm>
          <a:off x="6437586" y="1029139"/>
          <a:ext cx="1992586" cy="47077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masis MT Pro Black" panose="02040A04050005020304" pitchFamily="18" charset="0"/>
            </a:rPr>
            <a:t>₹</a:t>
          </a:r>
          <a:r>
            <a:rPr lang="en-IN" sz="2000" b="1">
              <a:latin typeface="Amasis MT Pro Black" panose="02040A04050005020304" pitchFamily="18" charset="0"/>
            </a:rPr>
            <a:t> 12690830</a:t>
          </a:r>
        </a:p>
      </xdr:txBody>
    </xdr:sp>
    <xdr:clientData/>
  </xdr:twoCellAnchor>
  <xdr:twoCellAnchor>
    <xdr:from>
      <xdr:col>1</xdr:col>
      <xdr:colOff>162962</xdr:colOff>
      <xdr:row>12</xdr:row>
      <xdr:rowOff>63165</xdr:rowOff>
    </xdr:from>
    <xdr:to>
      <xdr:col>4</xdr:col>
      <xdr:colOff>370979</xdr:colOff>
      <xdr:row>14</xdr:row>
      <xdr:rowOff>41269</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45E8BAEB-A203-22CB-19DF-6F1A1AC7FAC0}"/>
            </a:ext>
          </a:extLst>
        </xdr:cNvPr>
        <xdr:cNvSpPr/>
      </xdr:nvSpPr>
      <xdr:spPr>
        <a:xfrm>
          <a:off x="773539" y="2529896"/>
          <a:ext cx="2039748" cy="3932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latin typeface="ADLaM Display" panose="02010000000000000000" pitchFamily="2" charset="0"/>
              <a:ea typeface="ADLaM Display" panose="02010000000000000000" pitchFamily="2" charset="0"/>
              <a:cs typeface="ADLaM Display" panose="02010000000000000000" pitchFamily="2" charset="0"/>
            </a:rPr>
            <a:t>DESHBOARD</a:t>
          </a:r>
        </a:p>
      </xdr:txBody>
    </xdr:sp>
    <xdr:clientData/>
  </xdr:twoCellAnchor>
  <xdr:twoCellAnchor>
    <xdr:from>
      <xdr:col>1</xdr:col>
      <xdr:colOff>176436</xdr:colOff>
      <xdr:row>15</xdr:row>
      <xdr:rowOff>43792</xdr:rowOff>
    </xdr:from>
    <xdr:to>
      <xdr:col>4</xdr:col>
      <xdr:colOff>384453</xdr:colOff>
      <xdr:row>16</xdr:row>
      <xdr:rowOff>186120</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674706F3-4D42-B2FF-370D-C444452066F5}"/>
            </a:ext>
          </a:extLst>
        </xdr:cNvPr>
        <xdr:cNvSpPr/>
      </xdr:nvSpPr>
      <xdr:spPr>
        <a:xfrm>
          <a:off x="787013" y="3133311"/>
          <a:ext cx="2039748" cy="3499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solidFill>
                <a:srgbClr val="FFC000"/>
              </a:solidFill>
              <a:latin typeface="Aptos Slab ExtraBold" panose="020B0004020202020204" pitchFamily="34" charset="0"/>
            </a:rPr>
            <a:t>SALE</a:t>
          </a:r>
        </a:p>
      </xdr:txBody>
    </xdr:sp>
    <xdr:clientData/>
  </xdr:twoCellAnchor>
  <xdr:twoCellAnchor>
    <xdr:from>
      <xdr:col>1</xdr:col>
      <xdr:colOff>174010</xdr:colOff>
      <xdr:row>18</xdr:row>
      <xdr:rowOff>6838</xdr:rowOff>
    </xdr:from>
    <xdr:to>
      <xdr:col>4</xdr:col>
      <xdr:colOff>406029</xdr:colOff>
      <xdr:row>19</xdr:row>
      <xdr:rowOff>165588</xdr:rowOff>
    </xdr:to>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4BE0CFDA-B45F-43CF-9B37-331430BBBD9E}"/>
            </a:ext>
          </a:extLst>
        </xdr:cNvPr>
        <xdr:cNvSpPr/>
      </xdr:nvSpPr>
      <xdr:spPr>
        <a:xfrm>
          <a:off x="784587" y="3719146"/>
          <a:ext cx="2063750" cy="366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rgbClr val="FFC000"/>
              </a:solidFill>
              <a:latin typeface="ADLaM Display" panose="02010000000000000000" pitchFamily="2" charset="0"/>
              <a:ea typeface="ADLaM Display" panose="02010000000000000000" pitchFamily="2" charset="0"/>
              <a:cs typeface="ADLaM Display" panose="02010000000000000000" pitchFamily="2" charset="0"/>
            </a:rPr>
            <a:t>SALE PERSON</a:t>
          </a:r>
        </a:p>
      </xdr:txBody>
    </xdr:sp>
    <xdr:clientData/>
  </xdr:twoCellAnchor>
  <xdr:twoCellAnchor>
    <xdr:from>
      <xdr:col>1</xdr:col>
      <xdr:colOff>174011</xdr:colOff>
      <xdr:row>20</xdr:row>
      <xdr:rowOff>190012</xdr:rowOff>
    </xdr:from>
    <xdr:to>
      <xdr:col>4</xdr:col>
      <xdr:colOff>406030</xdr:colOff>
      <xdr:row>22</xdr:row>
      <xdr:rowOff>141166</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315BB162-1B67-451F-9FCA-37D514137D1D}"/>
            </a:ext>
          </a:extLst>
        </xdr:cNvPr>
        <xdr:cNvSpPr/>
      </xdr:nvSpPr>
      <xdr:spPr>
        <a:xfrm>
          <a:off x="784588" y="4317512"/>
          <a:ext cx="2063750" cy="366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rgbClr val="FFC000"/>
              </a:solidFill>
              <a:latin typeface="ADLaM Display" panose="02010000000000000000" pitchFamily="2" charset="0"/>
              <a:ea typeface="ADLaM Display" panose="02010000000000000000" pitchFamily="2" charset="0"/>
              <a:cs typeface="ADLaM Display" panose="02010000000000000000" pitchFamily="2" charset="0"/>
            </a:rPr>
            <a:t>REGION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204" refreshedDate="46227.514573148146" createdVersion="8" refreshedVersion="8" minRefreshableVersion="3" recordCount="1000" xr:uid="{00000000-000A-0000-FFFF-FFFF00000000}">
  <cacheSource type="worksheet">
    <worksheetSource name="SalesData"/>
  </cacheSource>
  <cacheFields count="23">
    <cacheField name="Order ID" numFmtId="0">
      <sharedItems count="10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haredItems>
    </cacheField>
    <cacheField name="Order Date" numFmtId="14">
      <sharedItems containsSemiMixedTypes="0" containsNonDate="0" containsDate="1" containsString="0" minDate="2025-01-02T00:00:00" maxDate="2025-12-31T00:00:00" count="338">
        <d v="2025-11-07T00:00:00"/>
        <d v="2025-10-02T00:00:00"/>
        <d v="2025-05-13T00:00:00"/>
        <d v="2025-01-12T00:00:00"/>
        <d v="2025-11-04T00:00:00"/>
        <d v="2025-12-21T00:00:00"/>
        <d v="2025-05-30T00:00:00"/>
        <d v="2025-07-20T00:00:00"/>
        <d v="2025-01-24T00:00:00"/>
        <d v="2025-11-05T00:00:00"/>
        <d v="2025-04-25T00:00:00"/>
        <d v="2025-01-31T00:00:00"/>
        <d v="2025-10-12T00:00:00"/>
        <d v="2025-07-03T00:00:00"/>
        <d v="2025-02-20T00:00:00"/>
        <d v="2025-09-05T00:00:00"/>
        <d v="2025-10-05T00:00:00"/>
        <d v="2025-02-18T00:00:00"/>
        <d v="2025-12-13T00:00:00"/>
        <d v="2025-03-01T00:00:00"/>
        <d v="2025-02-04T00:00:00"/>
        <d v="2025-02-28T00:00:00"/>
        <d v="2025-11-18T00:00:00"/>
        <d v="2025-10-17T00:00:00"/>
        <d v="2025-05-09T00:00:00"/>
        <d v="2025-03-29T00:00:00"/>
        <d v="2025-10-11T00:00:00"/>
        <d v="2025-06-26T00:00:00"/>
        <d v="2025-03-04T00:00:00"/>
        <d v="2025-06-09T00:00:00"/>
        <d v="2025-03-17T00:00:00"/>
        <d v="2025-09-29T00:00:00"/>
        <d v="2025-06-10T00:00:00"/>
        <d v="2025-06-15T00:00:00"/>
        <d v="2025-05-01T00:00:00"/>
        <d v="2025-11-30T00:00:00"/>
        <d v="2025-03-21T00:00:00"/>
        <d v="2025-10-30T00:00:00"/>
        <d v="2025-12-10T00:00:00"/>
        <d v="2025-02-09T00:00:00"/>
        <d v="2025-05-27T00:00:00"/>
        <d v="2025-02-22T00:00:00"/>
        <d v="2025-12-18T00:00:00"/>
        <d v="2025-12-04T00:00:00"/>
        <d v="2025-04-29T00:00:00"/>
        <d v="2025-06-14T00:00:00"/>
        <d v="2025-03-05T00:00:00"/>
        <d v="2025-12-28T00:00:00"/>
        <d v="2025-05-15T00:00:00"/>
        <d v="2025-01-26T00:00:00"/>
        <d v="2025-02-02T00:00:00"/>
        <d v="2025-12-08T00:00:00"/>
        <d v="2025-06-08T00:00:00"/>
        <d v="2025-08-28T00:00:00"/>
        <d v="2025-06-29T00:00:00"/>
        <d v="2025-05-21T00:00:00"/>
        <d v="2025-02-19T00:00:00"/>
        <d v="2025-08-16T00:00:00"/>
        <d v="2025-11-20T00:00:00"/>
        <d v="2025-07-22T00:00:00"/>
        <d v="2025-03-27T00:00:00"/>
        <d v="2025-12-11T00:00:00"/>
        <d v="2025-10-27T00:00:00"/>
        <d v="2025-04-22T00:00:00"/>
        <d v="2025-04-06T00:00:00"/>
        <d v="2025-10-31T00:00:00"/>
        <d v="2025-03-07T00:00:00"/>
        <d v="2025-11-23T00:00:00"/>
        <d v="2025-07-12T00:00:00"/>
        <d v="2025-04-21T00:00:00"/>
        <d v="2025-09-26T00:00:00"/>
        <d v="2025-09-11T00:00:00"/>
        <d v="2025-06-11T00:00:00"/>
        <d v="2025-04-02T00:00:00"/>
        <d v="2025-11-08T00:00:00"/>
        <d v="2025-11-22T00:00:00"/>
        <d v="2025-05-25T00:00:00"/>
        <d v="2025-06-30T00:00:00"/>
        <d v="2025-09-17T00:00:00"/>
        <d v="2025-04-04T00:00:00"/>
        <d v="2025-01-08T00:00:00"/>
        <d v="2025-09-28T00:00:00"/>
        <d v="2025-10-24T00:00:00"/>
        <d v="2025-03-06T00:00:00"/>
        <d v="2025-08-22T00:00:00"/>
        <d v="2025-12-02T00:00:00"/>
        <d v="2025-02-16T00:00:00"/>
        <d v="2025-07-02T00:00:00"/>
        <d v="2025-02-17T00:00:00"/>
        <d v="2025-01-02T00:00:00"/>
        <d v="2025-04-13T00:00:00"/>
        <d v="2025-02-06T00:00:00"/>
        <d v="2025-07-24T00:00:00"/>
        <d v="2025-07-28T00:00:00"/>
        <d v="2025-06-20T00:00:00"/>
        <d v="2025-06-21T00:00:00"/>
        <d v="2025-06-12T00:00:00"/>
        <d v="2025-11-14T00:00:00"/>
        <d v="2025-06-13T00:00:00"/>
        <d v="2025-05-24T00:00:00"/>
        <d v="2025-01-13T00:00:00"/>
        <d v="2025-11-17T00:00:00"/>
        <d v="2025-10-20T00:00:00"/>
        <d v="2025-07-11T00:00:00"/>
        <d v="2025-10-18T00:00:00"/>
        <d v="2025-11-28T00:00:00"/>
        <d v="2025-04-07T00:00:00"/>
        <d v="2025-09-07T00:00:00"/>
        <d v="2025-10-23T00:00:00"/>
        <d v="2025-10-06T00:00:00"/>
        <d v="2025-06-01T00:00:00"/>
        <d v="2025-09-18T00:00:00"/>
        <d v="2025-08-10T00:00:00"/>
        <d v="2025-08-12T00:00:00"/>
        <d v="2025-10-15T00:00:00"/>
        <d v="2025-09-06T00:00:00"/>
        <d v="2025-06-22T00:00:00"/>
        <d v="2025-10-09T00:00:00"/>
        <d v="2025-07-13T00:00:00"/>
        <d v="2025-07-27T00:00:00"/>
        <d v="2025-06-24T00:00:00"/>
        <d v="2025-03-24T00:00:00"/>
        <d v="2025-03-15T00:00:00"/>
        <d v="2025-05-02T00:00:00"/>
        <d v="2025-07-05T00:00:00"/>
        <d v="2025-07-18T00:00:00"/>
        <d v="2025-11-06T00:00:00"/>
        <d v="2025-08-03T00:00:00"/>
        <d v="2025-12-06T00:00:00"/>
        <d v="2025-02-08T00:00:00"/>
        <d v="2025-01-20T00:00:00"/>
        <d v="2025-03-18T00:00:00"/>
        <d v="2025-01-17T00:00:00"/>
        <d v="2025-04-08T00:00:00"/>
        <d v="2025-10-07T00:00:00"/>
        <d v="2025-02-21T00:00:00"/>
        <d v="2025-05-28T00:00:00"/>
        <d v="2025-07-19T00:00:00"/>
        <d v="2025-04-24T00:00:00"/>
        <d v="2025-01-03T00:00:00"/>
        <d v="2025-10-04T00:00:00"/>
        <d v="2025-05-05T00:00:00"/>
        <d v="2025-11-16T00:00:00"/>
        <d v="2025-01-18T00:00:00"/>
        <d v="2025-02-23T00:00:00"/>
        <d v="2025-08-07T00:00:00"/>
        <d v="2025-07-16T00:00:00"/>
        <d v="2025-04-17T00:00:00"/>
        <d v="2025-12-24T00:00:00"/>
        <d v="2025-05-20T00:00:00"/>
        <d v="2025-10-14T00:00:00"/>
        <d v="2025-09-13T00:00:00"/>
        <d v="2025-08-26T00:00:00"/>
        <d v="2025-05-12T00:00:00"/>
        <d v="2025-06-27T00:00:00"/>
        <d v="2025-10-08T00:00:00"/>
        <d v="2025-11-02T00:00:00"/>
        <d v="2025-04-20T00:00:00"/>
        <d v="2025-04-15T00:00:00"/>
        <d v="2025-10-22T00:00:00"/>
        <d v="2025-10-29T00:00:00"/>
        <d v="2025-11-24T00:00:00"/>
        <d v="2025-02-26T00:00:00"/>
        <d v="2025-12-17T00:00:00"/>
        <d v="2025-08-25T00:00:00"/>
        <d v="2025-04-05T00:00:00"/>
        <d v="2025-07-04T00:00:00"/>
        <d v="2025-07-15T00:00:00"/>
        <d v="2025-01-16T00:00:00"/>
        <d v="2025-08-29T00:00:00"/>
        <d v="2025-12-15T00:00:00"/>
        <d v="2025-06-18T00:00:00"/>
        <d v="2025-12-26T00:00:00"/>
        <d v="2025-03-26T00:00:00"/>
        <d v="2025-07-21T00:00:00"/>
        <d v="2025-10-03T00:00:00"/>
        <d v="2025-11-19T00:00:00"/>
        <d v="2025-07-01T00:00:00"/>
        <d v="2025-02-15T00:00:00"/>
        <d v="2025-04-10T00:00:00"/>
        <d v="2025-01-04T00:00:00"/>
        <d v="2025-09-22T00:00:00"/>
        <d v="2025-08-08T00:00:00"/>
        <d v="2025-10-16T00:00:00"/>
        <d v="2025-01-29T00:00:00"/>
        <d v="2025-10-10T00:00:00"/>
        <d v="2025-01-25T00:00:00"/>
        <d v="2025-01-10T00:00:00"/>
        <d v="2025-03-09T00:00:00"/>
        <d v="2025-07-14T00:00:00"/>
        <d v="2025-03-30T00:00:00"/>
        <d v="2025-05-10T00:00:00"/>
        <d v="2025-12-20T00:00:00"/>
        <d v="2025-04-03T00:00:00"/>
        <d v="2025-01-05T00:00:00"/>
        <d v="2025-03-03T00:00:00"/>
        <d v="2025-07-09T00:00:00"/>
        <d v="2025-06-17T00:00:00"/>
        <d v="2025-11-13T00:00:00"/>
        <d v="2025-01-07T00:00:00"/>
        <d v="2025-11-15T00:00:00"/>
        <d v="2025-01-21T00:00:00"/>
        <d v="2025-03-28T00:00:00"/>
        <d v="2025-06-04T00:00:00"/>
        <d v="2025-02-13T00:00:00"/>
        <d v="2025-09-21T00:00:00"/>
        <d v="2025-04-01T00:00:00"/>
        <d v="2025-10-21T00:00:00"/>
        <d v="2025-10-13T00:00:00"/>
        <d v="2025-04-27T00:00:00"/>
        <d v="2025-01-11T00:00:00"/>
        <d v="2025-03-11T00:00:00"/>
        <d v="2025-03-12T00:00:00"/>
        <d v="2025-11-03T00:00:00"/>
        <d v="2025-12-22T00:00:00"/>
        <d v="2025-12-29T00:00:00"/>
        <d v="2025-09-23T00:00:00"/>
        <d v="2025-09-30T00:00:00"/>
        <d v="2025-06-25T00:00:00"/>
        <d v="2025-11-10T00:00:00"/>
        <d v="2025-02-07T00:00:00"/>
        <d v="2025-09-08T00:00:00"/>
        <d v="2025-11-29T00:00:00"/>
        <d v="2025-06-19T00:00:00"/>
        <d v="2025-06-28T00:00:00"/>
        <d v="2025-11-26T00:00:00"/>
        <d v="2025-05-31T00:00:00"/>
        <d v="2025-08-01T00:00:00"/>
        <d v="2025-10-19T00:00:00"/>
        <d v="2025-09-10T00:00:00"/>
        <d v="2025-01-14T00:00:00"/>
        <d v="2025-05-04T00:00:00"/>
        <d v="2025-06-16T00:00:00"/>
        <d v="2025-12-03T00:00:00"/>
        <d v="2025-04-11T00:00:00"/>
        <d v="2025-12-23T00:00:00"/>
        <d v="2025-08-20T00:00:00"/>
        <d v="2025-05-07T00:00:00"/>
        <d v="2025-05-22T00:00:00"/>
        <d v="2025-04-26T00:00:00"/>
        <d v="2025-03-10T00:00:00"/>
        <d v="2025-08-02T00:00:00"/>
        <d v="2025-12-25T00:00:00"/>
        <d v="2025-03-20T00:00:00"/>
        <d v="2025-10-26T00:00:00"/>
        <d v="2025-09-04T00:00:00"/>
        <d v="2025-08-18T00:00:00"/>
        <d v="2025-01-27T00:00:00"/>
        <d v="2025-08-06T00:00:00"/>
        <d v="2025-04-23T00:00:00"/>
        <d v="2025-11-25T00:00:00"/>
        <d v="2025-07-29T00:00:00"/>
        <d v="2025-04-28T00:00:00"/>
        <d v="2025-08-05T00:00:00"/>
        <d v="2025-12-14T00:00:00"/>
        <d v="2025-03-23T00:00:00"/>
        <d v="2025-05-23T00:00:00"/>
        <d v="2025-02-11T00:00:00"/>
        <d v="2025-01-23T00:00:00"/>
        <d v="2025-12-30T00:00:00"/>
        <d v="2025-03-25T00:00:00"/>
        <d v="2025-05-29T00:00:00"/>
        <d v="2025-08-13T00:00:00"/>
        <d v="2025-01-15T00:00:00"/>
        <d v="2025-08-24T00:00:00"/>
        <d v="2025-01-22T00:00:00"/>
        <d v="2025-08-30T00:00:00"/>
        <d v="2025-08-31T00:00:00"/>
        <d v="2025-06-07T00:00:00"/>
        <d v="2025-03-14T00:00:00"/>
        <d v="2025-08-09T00:00:00"/>
        <d v="2025-09-12T00:00:00"/>
        <d v="2025-06-23T00:00:00"/>
        <d v="2025-02-12T00:00:00"/>
        <d v="2025-05-17T00:00:00"/>
        <d v="2025-05-18T00:00:00"/>
        <d v="2025-05-16T00:00:00"/>
        <d v="2025-04-16T00:00:00"/>
        <d v="2025-05-03T00:00:00"/>
        <d v="2025-04-30T00:00:00"/>
        <d v="2025-04-19T00:00:00"/>
        <d v="2025-08-15T00:00:00"/>
        <d v="2025-08-23T00:00:00"/>
        <d v="2025-03-19T00:00:00"/>
        <d v="2025-03-22T00:00:00"/>
        <d v="2025-07-30T00:00:00"/>
        <d v="2025-03-31T00:00:00"/>
        <d v="2025-05-26T00:00:00"/>
        <d v="2025-12-27T00:00:00"/>
        <d v="2025-04-14T00:00:00"/>
        <d v="2025-10-28T00:00:00"/>
        <d v="2025-02-27T00:00:00"/>
        <d v="2025-10-01T00:00:00"/>
        <d v="2025-03-08T00:00:00"/>
        <d v="2025-07-07T00:00:00"/>
        <d v="2025-05-19T00:00:00"/>
        <d v="2025-08-04T00:00:00"/>
        <d v="2025-11-01T00:00:00"/>
        <d v="2025-09-20T00:00:00"/>
        <d v="2025-12-01T00:00:00"/>
        <d v="2025-01-30T00:00:00"/>
        <d v="2025-11-21T00:00:00"/>
        <d v="2025-05-08T00:00:00"/>
        <d v="2025-02-05T00:00:00"/>
        <d v="2025-04-12T00:00:00"/>
        <d v="2025-04-09T00:00:00"/>
        <d v="2025-07-26T00:00:00"/>
        <d v="2025-01-09T00:00:00"/>
        <d v="2025-08-27T00:00:00"/>
        <d v="2025-08-19T00:00:00"/>
        <d v="2025-02-10T00:00:00"/>
        <d v="2025-04-18T00:00:00"/>
        <d v="2025-07-06T00:00:00"/>
        <d v="2025-01-28T00:00:00"/>
        <d v="2025-06-06T00:00:00"/>
        <d v="2025-12-09T00:00:00"/>
        <d v="2025-12-07T00:00:00"/>
        <d v="2025-05-14T00:00:00"/>
        <d v="2025-09-03T00:00:00"/>
        <d v="2025-03-02T00:00:00"/>
        <d v="2025-08-21T00:00:00"/>
        <d v="2025-10-25T00:00:00"/>
        <d v="2025-06-02T00:00:00"/>
        <d v="2025-09-19T00:00:00"/>
        <d v="2025-07-31T00:00:00"/>
        <d v="2025-09-24T00:00:00"/>
        <d v="2025-06-03T00:00:00"/>
        <d v="2025-02-01T00:00:00"/>
        <d v="2025-01-19T00:00:00"/>
        <d v="2025-11-27T00:00:00"/>
        <d v="2025-01-06T00:00:00"/>
        <d v="2025-03-13T00:00:00"/>
        <d v="2025-07-17T00:00:00"/>
        <d v="2025-08-14T00:00:00"/>
        <d v="2025-08-17T00:00:00"/>
        <d v="2025-11-12T00:00:00"/>
        <d v="2025-09-25T00:00:00"/>
        <d v="2025-12-19T00:00:00"/>
      </sharedItems>
      <fieldGroup par="22"/>
    </cacheField>
    <cacheField name="Customer ID" numFmtId="0">
      <sharedItems count="100">
        <s v="C1085"/>
        <s v="C1093"/>
        <s v="C1020"/>
        <s v="C1026"/>
        <s v="C1046"/>
        <s v="C1080"/>
        <s v="C1063"/>
        <s v="C1079"/>
        <s v="C1031"/>
        <s v="C1022"/>
        <s v="C1099"/>
        <s v="C1077"/>
        <s v="C1098"/>
        <s v="C1076"/>
        <s v="C1048"/>
        <s v="C1014"/>
        <s v="C1087"/>
        <s v="C1089"/>
        <s v="C1068"/>
        <s v="C1082"/>
        <s v="C1061"/>
        <s v="C1043"/>
        <s v="C1032"/>
        <s v="C1071"/>
        <s v="C1004"/>
        <s v="C1097"/>
        <s v="C1060"/>
        <s v="C1024"/>
        <s v="C1021"/>
        <s v="C1062"/>
        <s v="C1027"/>
        <s v="C1091"/>
        <s v="C1042"/>
        <s v="C1053"/>
        <s v="C1023"/>
        <s v="C1016"/>
        <s v="C1090"/>
        <s v="C1044"/>
        <s v="C1054"/>
        <s v="C1011"/>
        <s v="C1045"/>
        <s v="C1041"/>
        <s v="C1015"/>
        <s v="C1067"/>
        <s v="C1086"/>
        <s v="C1084"/>
        <s v="C1073"/>
        <s v="C1088"/>
        <s v="C1070"/>
        <s v="C1094"/>
        <s v="C1039"/>
        <s v="C1069"/>
        <s v="C1036"/>
        <s v="C1050"/>
        <s v="C1065"/>
        <s v="C1081"/>
        <s v="C1019"/>
        <s v="C1049"/>
        <s v="C1066"/>
        <s v="C1040"/>
        <s v="C1035"/>
        <s v="C1100"/>
        <s v="C1025"/>
        <s v="C1037"/>
        <s v="C1059"/>
        <s v="C1038"/>
        <s v="C1033"/>
        <s v="C1058"/>
        <s v="C1001"/>
        <s v="C1002"/>
        <s v="C1095"/>
        <s v="C1005"/>
        <s v="C1056"/>
        <s v="C1018"/>
        <s v="C1013"/>
        <s v="C1052"/>
        <s v="C1008"/>
        <s v="C1075"/>
        <s v="C1017"/>
        <s v="C1051"/>
        <s v="C1057"/>
        <s v="C1007"/>
        <s v="C1078"/>
        <s v="C1072"/>
        <s v="C1029"/>
        <s v="C1064"/>
        <s v="C1096"/>
        <s v="C1055"/>
        <s v="C1010"/>
        <s v="C1006"/>
        <s v="C1028"/>
        <s v="C1047"/>
        <s v="C1074"/>
        <s v="C1030"/>
        <s v="C1009"/>
        <s v="C1003"/>
        <s v="C1083"/>
        <s v="C1034"/>
        <s v="C1012"/>
        <s v="C1092"/>
      </sharedItems>
    </cacheField>
    <cacheField name="Customer Name" numFmtId="0">
      <sharedItems count="100">
        <s v="Customer 10"/>
        <s v="Customer 23"/>
        <s v="Customer 51"/>
        <s v="Customer 70"/>
        <s v="Customer 54"/>
        <s v="Customer 31"/>
        <s v="Customer 94"/>
        <s v="Customer 13"/>
        <s v="Customer 45"/>
        <s v="Customer 66"/>
        <s v="Customer 14"/>
        <s v="Customer 7"/>
        <s v="Customer 72"/>
        <s v="Customer 8"/>
        <s v="Customer 21"/>
        <s v="Customer 69"/>
        <s v="Customer 77"/>
        <s v="Customer 84"/>
        <s v="Customer 100"/>
        <s v="Customer 58"/>
        <s v="Customer 87"/>
        <s v="Customer 22"/>
        <s v="Customer 76"/>
        <s v="Customer 71"/>
        <s v="Customer 61"/>
        <s v="Customer 67"/>
        <s v="Customer 6"/>
        <s v="Customer 52"/>
        <s v="Customer 49"/>
        <s v="Customer 57"/>
        <s v="Customer 48"/>
        <s v="Customer 9"/>
        <s v="Customer 2"/>
        <s v="Customer 3"/>
        <s v="Customer 5"/>
        <s v="Customer 24"/>
        <s v="Customer 91"/>
        <s v="Customer 85"/>
        <s v="Customer 65"/>
        <s v="Customer 26"/>
        <s v="Customer 46"/>
        <s v="Customer 40"/>
        <s v="Customer 73"/>
        <s v="Customer 39"/>
        <s v="Customer 63"/>
        <s v="Customer 90"/>
        <s v="Customer 30"/>
        <s v="Customer 11"/>
        <s v="Customer 50"/>
        <s v="Customer 27"/>
        <s v="Customer 41"/>
        <s v="Customer 74"/>
        <s v="Customer 60"/>
        <s v="Customer 82"/>
        <s v="Customer 83"/>
        <s v="Customer 55"/>
        <s v="Customer 35"/>
        <s v="Customer 68"/>
        <s v="Customer 15"/>
        <s v="Customer 28"/>
        <s v="Customer 78"/>
        <s v="Customer 86"/>
        <s v="Customer 97"/>
        <s v="Customer 37"/>
        <s v="Customer 56"/>
        <s v="Customer 98"/>
        <s v="Customer 20"/>
        <s v="Customer 36"/>
        <s v="Customer 19"/>
        <s v="Customer 93"/>
        <s v="Customer 1"/>
        <s v="Customer 99"/>
        <s v="Customer 34"/>
        <s v="Customer 96"/>
        <s v="Customer 59"/>
        <s v="Customer 29"/>
        <s v="Customer 33"/>
        <s v="Customer 43"/>
        <s v="Customer 12"/>
        <s v="Customer 80"/>
        <s v="Customer 95"/>
        <s v="Customer 79"/>
        <s v="Customer 32"/>
        <s v="Customer 81"/>
        <s v="Customer 47"/>
        <s v="Customer 75"/>
        <s v="Customer 92"/>
        <s v="Customer 4"/>
        <s v="Customer 25"/>
        <s v="Customer 89"/>
        <s v="Customer 62"/>
        <s v="Customer 53"/>
        <s v="Customer 16"/>
        <s v="Customer 42"/>
        <s v="Customer 38"/>
        <s v="Customer 18"/>
        <s v="Customer 64"/>
        <s v="Customer 44"/>
        <s v="Customer 88"/>
        <s v="Customer 17"/>
      </sharedItems>
    </cacheField>
    <cacheField name="Product ID" numFmtId="0">
      <sharedItems/>
    </cacheField>
    <cacheField name="Product Name" numFmtId="0">
      <sharedItems count="8">
        <s v="Headphones"/>
        <s v="Mouse"/>
        <s v="Laptop"/>
        <s v="Printer"/>
        <s v="Router"/>
        <s v="Table"/>
        <s v="Keyboard"/>
        <s v="Chair"/>
      </sharedItems>
    </cacheField>
    <cacheField name="Category" numFmtId="0">
      <sharedItems count="3">
        <s v="Electronics"/>
        <s v="Networking"/>
        <s v="Furniture"/>
      </sharedItems>
    </cacheField>
    <cacheField name="Region" numFmtId="0">
      <sharedItems count="4">
        <s v="East"/>
        <s v="North"/>
        <s v="South"/>
        <s v="West"/>
      </sharedItems>
    </cacheField>
    <cacheField name="Salesperson" numFmtId="0">
      <sharedItems count="6">
        <s v="Amit"/>
        <s v="Sneha"/>
        <s v="Neha"/>
        <s v="Rahul"/>
        <s v="Priya"/>
        <s v="Karan"/>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800" maxValue="55000"/>
    </cacheField>
    <cacheField name="Discount %" numFmtId="0">
      <sharedItems containsSemiMixedTypes="0" containsString="0" containsNumber="1" containsInteger="1" minValue="0" maxValue="20"/>
    </cacheField>
    <cacheField name="Sales" numFmtId="0">
      <sharedItems containsSemiMixedTypes="0" containsString="0" containsNumber="1" containsInteger="1" minValue="640" maxValue="550000"/>
    </cacheField>
    <cacheField name="Cost" numFmtId="0">
      <sharedItems containsSemiMixedTypes="0" containsString="0" containsNumber="1" minValue="560" maxValue="385000"/>
    </cacheField>
    <cacheField name="Profit" numFmtId="0">
      <sharedItems containsSemiMixedTypes="0" containsString="0" containsNumber="1" minValue="80" maxValue="165000"/>
    </cacheField>
    <cacheField name="Payment Mode" numFmtId="0">
      <sharedItems count="4">
        <s v="Net Banking"/>
        <s v="Cash"/>
        <s v="UPI"/>
        <s v="Card"/>
      </sharedItems>
    </cacheField>
    <cacheField name="Delivery Status" numFmtId="0">
      <sharedItems/>
    </cacheField>
    <cacheField name="Month" numFmtId="0">
      <sharedItems count="12">
        <s v="Nov"/>
        <s v="Oct"/>
        <s v="May"/>
        <s v="Jan"/>
        <s v="Dec"/>
        <s v="Jul"/>
        <s v="Apr"/>
        <s v="Feb"/>
        <s v="Sep"/>
        <s v="Mar"/>
        <s v="Jun"/>
        <s v="Aug"/>
      </sharedItems>
    </cacheField>
    <cacheField name="Quarter" numFmtId="0">
      <sharedItems/>
    </cacheField>
    <cacheField name="Year" numFmtId="0">
      <sharedItems containsSemiMixedTypes="0" containsString="0" containsNumber="1" containsInteger="1" minValue="2025" maxValue="2025"/>
    </cacheField>
    <cacheField name="Profit %" numFmtId="0">
      <sharedItems containsSemiMixedTypes="0" containsString="0" containsNumber="1" minValue="0.125" maxValue="0.30000000000000016"/>
    </cacheField>
    <cacheField name="Days (Order Date)" numFmtId="0" databaseField="0">
      <fieldGroup base="1">
        <rangePr groupBy="days" startDate="2025-01-02T00:00:00" endDate="2025-12-3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Order Date)" numFmtId="0" databaseField="0">
      <fieldGroup base="1">
        <rangePr groupBy="months" startDate="2025-01-02T00:00:00" endDate="2025-12-31T00:00:00"/>
        <groupItems count="14">
          <s v="&lt;02-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178488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P107"/>
    <x v="0"/>
    <x v="0"/>
    <x v="0"/>
    <x v="0"/>
    <n v="10"/>
    <n v="3500"/>
    <n v="0"/>
    <n v="35000"/>
    <n v="24500"/>
    <n v="10500"/>
    <x v="0"/>
    <s v="Pending"/>
    <x v="0"/>
    <s v="Q4"/>
    <n v="2025"/>
    <n v="0.3"/>
  </r>
  <r>
    <x v="1"/>
    <x v="1"/>
    <x v="1"/>
    <x v="1"/>
    <s v="P102"/>
    <x v="1"/>
    <x v="0"/>
    <x v="1"/>
    <x v="0"/>
    <n v="2"/>
    <n v="800"/>
    <n v="10"/>
    <n v="1440"/>
    <n v="1120"/>
    <n v="320"/>
    <x v="0"/>
    <s v="Returned"/>
    <x v="1"/>
    <s v="Q4"/>
    <n v="2025"/>
    <n v="0.22222222222222221"/>
  </r>
  <r>
    <x v="2"/>
    <x v="2"/>
    <x v="2"/>
    <x v="2"/>
    <s v="P101"/>
    <x v="2"/>
    <x v="0"/>
    <x v="1"/>
    <x v="1"/>
    <n v="6"/>
    <n v="55000"/>
    <n v="5"/>
    <n v="313500"/>
    <n v="231000"/>
    <n v="82500.000000000029"/>
    <x v="1"/>
    <s v="Pending"/>
    <x v="2"/>
    <s v="Q2"/>
    <n v="2025"/>
    <n v="0.2631578947368422"/>
  </r>
  <r>
    <x v="3"/>
    <x v="3"/>
    <x v="3"/>
    <x v="3"/>
    <s v="P106"/>
    <x v="3"/>
    <x v="0"/>
    <x v="2"/>
    <x v="1"/>
    <n v="3"/>
    <n v="9500"/>
    <n v="5"/>
    <n v="27075"/>
    <n v="19950"/>
    <n v="7125"/>
    <x v="0"/>
    <s v="Pending"/>
    <x v="3"/>
    <s v="Q1"/>
    <n v="2025"/>
    <n v="0.26315789473684209"/>
  </r>
  <r>
    <x v="4"/>
    <x v="4"/>
    <x v="4"/>
    <x v="4"/>
    <s v="P108"/>
    <x v="4"/>
    <x v="1"/>
    <x v="0"/>
    <x v="2"/>
    <n v="8"/>
    <n v="3200"/>
    <n v="15"/>
    <n v="21760"/>
    <n v="17920"/>
    <n v="3840"/>
    <x v="2"/>
    <s v="Returned"/>
    <x v="0"/>
    <s v="Q4"/>
    <n v="2025"/>
    <n v="0.17647058823529413"/>
  </r>
  <r>
    <x v="5"/>
    <x v="5"/>
    <x v="5"/>
    <x v="5"/>
    <s v="P107"/>
    <x v="0"/>
    <x v="0"/>
    <x v="1"/>
    <x v="1"/>
    <n v="10"/>
    <n v="3500"/>
    <n v="5"/>
    <n v="33250"/>
    <n v="24500"/>
    <n v="8750"/>
    <x v="3"/>
    <s v="Pending"/>
    <x v="4"/>
    <s v="Q4"/>
    <n v="2025"/>
    <n v="0.26315789473684209"/>
  </r>
  <r>
    <x v="6"/>
    <x v="6"/>
    <x v="6"/>
    <x v="6"/>
    <s v="P105"/>
    <x v="5"/>
    <x v="2"/>
    <x v="3"/>
    <x v="3"/>
    <n v="5"/>
    <n v="8500"/>
    <n v="20"/>
    <n v="34000"/>
    <n v="29750"/>
    <n v="4250.0000000000036"/>
    <x v="1"/>
    <s v="Pending"/>
    <x v="2"/>
    <s v="Q2"/>
    <n v="2025"/>
    <n v="0.12500000000000011"/>
  </r>
  <r>
    <x v="7"/>
    <x v="7"/>
    <x v="7"/>
    <x v="7"/>
    <s v="P103"/>
    <x v="6"/>
    <x v="0"/>
    <x v="1"/>
    <x v="4"/>
    <n v="3"/>
    <n v="1500"/>
    <n v="15"/>
    <n v="3825"/>
    <n v="3150"/>
    <n v="675"/>
    <x v="0"/>
    <s v="Pending"/>
    <x v="5"/>
    <s v="Q3"/>
    <n v="2025"/>
    <n v="0.17647058823529413"/>
  </r>
  <r>
    <x v="8"/>
    <x v="8"/>
    <x v="8"/>
    <x v="8"/>
    <s v="P105"/>
    <x v="5"/>
    <x v="2"/>
    <x v="2"/>
    <x v="3"/>
    <n v="1"/>
    <n v="8500"/>
    <n v="15"/>
    <n v="7225"/>
    <n v="5950"/>
    <n v="1275"/>
    <x v="2"/>
    <s v="Delivered"/>
    <x v="3"/>
    <s v="Q1"/>
    <n v="2025"/>
    <n v="0.17647058823529413"/>
  </r>
  <r>
    <x v="9"/>
    <x v="9"/>
    <x v="9"/>
    <x v="9"/>
    <s v="P106"/>
    <x v="3"/>
    <x v="0"/>
    <x v="2"/>
    <x v="5"/>
    <n v="5"/>
    <n v="9500"/>
    <n v="5"/>
    <n v="45125"/>
    <n v="33250"/>
    <n v="11875"/>
    <x v="3"/>
    <s v="Pending"/>
    <x v="0"/>
    <s v="Q4"/>
    <n v="2025"/>
    <n v="0.26315789473684209"/>
  </r>
  <r>
    <x v="10"/>
    <x v="10"/>
    <x v="10"/>
    <x v="10"/>
    <s v="P105"/>
    <x v="5"/>
    <x v="2"/>
    <x v="1"/>
    <x v="2"/>
    <n v="4"/>
    <n v="8500"/>
    <n v="0"/>
    <n v="34000"/>
    <n v="23800"/>
    <n v="10200"/>
    <x v="0"/>
    <s v="Pending"/>
    <x v="6"/>
    <s v="Q2"/>
    <n v="2025"/>
    <n v="0.3"/>
  </r>
  <r>
    <x v="11"/>
    <x v="11"/>
    <x v="11"/>
    <x v="11"/>
    <s v="P108"/>
    <x v="4"/>
    <x v="1"/>
    <x v="1"/>
    <x v="2"/>
    <n v="2"/>
    <n v="3200"/>
    <n v="5"/>
    <n v="6080"/>
    <n v="4480"/>
    <n v="1600"/>
    <x v="2"/>
    <s v="Returned"/>
    <x v="3"/>
    <s v="Q1"/>
    <n v="2025"/>
    <n v="0.26315789473684209"/>
  </r>
  <r>
    <x v="12"/>
    <x v="12"/>
    <x v="12"/>
    <x v="12"/>
    <s v="P102"/>
    <x v="1"/>
    <x v="0"/>
    <x v="1"/>
    <x v="0"/>
    <n v="5"/>
    <n v="800"/>
    <n v="15"/>
    <n v="3400"/>
    <n v="2800"/>
    <n v="600"/>
    <x v="1"/>
    <s v="Returned"/>
    <x v="1"/>
    <s v="Q4"/>
    <n v="2025"/>
    <n v="0.17647058823529413"/>
  </r>
  <r>
    <x v="13"/>
    <x v="13"/>
    <x v="13"/>
    <x v="13"/>
    <s v="P104"/>
    <x v="7"/>
    <x v="2"/>
    <x v="3"/>
    <x v="4"/>
    <n v="3"/>
    <n v="4500"/>
    <n v="0"/>
    <n v="13500"/>
    <n v="9450"/>
    <n v="4050"/>
    <x v="2"/>
    <s v="Pending"/>
    <x v="5"/>
    <s v="Q3"/>
    <n v="2025"/>
    <n v="0.3"/>
  </r>
  <r>
    <x v="14"/>
    <x v="14"/>
    <x v="14"/>
    <x v="14"/>
    <s v="P107"/>
    <x v="0"/>
    <x v="0"/>
    <x v="1"/>
    <x v="5"/>
    <n v="6"/>
    <n v="3500"/>
    <n v="15"/>
    <n v="17850"/>
    <n v="14700"/>
    <n v="3150.0000000000018"/>
    <x v="1"/>
    <s v="Returned"/>
    <x v="7"/>
    <s v="Q1"/>
    <n v="2025"/>
    <n v="0.17647058823529421"/>
  </r>
  <r>
    <x v="15"/>
    <x v="15"/>
    <x v="15"/>
    <x v="15"/>
    <s v="P106"/>
    <x v="3"/>
    <x v="0"/>
    <x v="1"/>
    <x v="3"/>
    <n v="8"/>
    <n v="9500"/>
    <n v="0"/>
    <n v="76000"/>
    <n v="53200"/>
    <n v="22800"/>
    <x v="0"/>
    <s v="Pending"/>
    <x v="8"/>
    <s v="Q3"/>
    <n v="2025"/>
    <n v="0.3"/>
  </r>
  <r>
    <x v="16"/>
    <x v="16"/>
    <x v="16"/>
    <x v="16"/>
    <s v="P103"/>
    <x v="6"/>
    <x v="0"/>
    <x v="1"/>
    <x v="3"/>
    <n v="1"/>
    <n v="1500"/>
    <n v="15"/>
    <n v="1275"/>
    <n v="1050"/>
    <n v="225"/>
    <x v="0"/>
    <s v="Returned"/>
    <x v="1"/>
    <s v="Q4"/>
    <n v="2025"/>
    <n v="0.17647058823529413"/>
  </r>
  <r>
    <x v="17"/>
    <x v="17"/>
    <x v="17"/>
    <x v="10"/>
    <s v="P105"/>
    <x v="5"/>
    <x v="2"/>
    <x v="0"/>
    <x v="5"/>
    <n v="10"/>
    <n v="8500"/>
    <n v="5"/>
    <n v="80750"/>
    <n v="59499.999999999993"/>
    <n v="21250.000000000011"/>
    <x v="1"/>
    <s v="Delivered"/>
    <x v="7"/>
    <s v="Q1"/>
    <n v="2025"/>
    <n v="0.26315789473684226"/>
  </r>
  <r>
    <x v="18"/>
    <x v="18"/>
    <x v="18"/>
    <x v="17"/>
    <s v="P106"/>
    <x v="3"/>
    <x v="0"/>
    <x v="3"/>
    <x v="5"/>
    <n v="5"/>
    <n v="9500"/>
    <n v="0"/>
    <n v="47500"/>
    <n v="33250"/>
    <n v="14250"/>
    <x v="3"/>
    <s v="Returned"/>
    <x v="4"/>
    <s v="Q4"/>
    <n v="2025"/>
    <n v="0.3"/>
  </r>
  <r>
    <x v="19"/>
    <x v="19"/>
    <x v="8"/>
    <x v="18"/>
    <s v="P102"/>
    <x v="1"/>
    <x v="0"/>
    <x v="1"/>
    <x v="3"/>
    <n v="1"/>
    <n v="800"/>
    <n v="15"/>
    <n v="680"/>
    <n v="560"/>
    <n v="120"/>
    <x v="3"/>
    <s v="Returned"/>
    <x v="9"/>
    <s v="Q1"/>
    <n v="2025"/>
    <n v="0.17647058823529413"/>
  </r>
  <r>
    <x v="20"/>
    <x v="20"/>
    <x v="19"/>
    <x v="19"/>
    <s v="P103"/>
    <x v="6"/>
    <x v="0"/>
    <x v="2"/>
    <x v="4"/>
    <n v="8"/>
    <n v="1500"/>
    <n v="0"/>
    <n v="12000"/>
    <n v="8400"/>
    <n v="3600"/>
    <x v="1"/>
    <s v="Delivered"/>
    <x v="7"/>
    <s v="Q1"/>
    <n v="2025"/>
    <n v="0.3"/>
  </r>
  <r>
    <x v="21"/>
    <x v="21"/>
    <x v="20"/>
    <x v="20"/>
    <s v="P106"/>
    <x v="3"/>
    <x v="0"/>
    <x v="2"/>
    <x v="4"/>
    <n v="1"/>
    <n v="9500"/>
    <n v="0"/>
    <n v="9500"/>
    <n v="6650"/>
    <n v="2850"/>
    <x v="0"/>
    <s v="Delivered"/>
    <x v="7"/>
    <s v="Q1"/>
    <n v="2025"/>
    <n v="0.3"/>
  </r>
  <r>
    <x v="22"/>
    <x v="22"/>
    <x v="21"/>
    <x v="21"/>
    <s v="P106"/>
    <x v="3"/>
    <x v="0"/>
    <x v="2"/>
    <x v="4"/>
    <n v="6"/>
    <n v="9500"/>
    <n v="10"/>
    <n v="51300"/>
    <n v="39900"/>
    <n v="11400"/>
    <x v="1"/>
    <s v="Returned"/>
    <x v="0"/>
    <s v="Q4"/>
    <n v="2025"/>
    <n v="0.22222222222222221"/>
  </r>
  <r>
    <x v="23"/>
    <x v="23"/>
    <x v="22"/>
    <x v="15"/>
    <s v="P102"/>
    <x v="1"/>
    <x v="0"/>
    <x v="3"/>
    <x v="4"/>
    <n v="5"/>
    <n v="800"/>
    <n v="15"/>
    <n v="3400"/>
    <n v="2800"/>
    <n v="600"/>
    <x v="2"/>
    <s v="Delivered"/>
    <x v="1"/>
    <s v="Q4"/>
    <n v="2025"/>
    <n v="0.17647058823529413"/>
  </r>
  <r>
    <x v="24"/>
    <x v="24"/>
    <x v="23"/>
    <x v="10"/>
    <s v="P102"/>
    <x v="1"/>
    <x v="0"/>
    <x v="2"/>
    <x v="2"/>
    <n v="3"/>
    <n v="800"/>
    <n v="20"/>
    <n v="1920"/>
    <n v="1680"/>
    <n v="240"/>
    <x v="2"/>
    <s v="Returned"/>
    <x v="2"/>
    <s v="Q2"/>
    <n v="2025"/>
    <n v="0.125"/>
  </r>
  <r>
    <x v="25"/>
    <x v="25"/>
    <x v="24"/>
    <x v="19"/>
    <s v="P106"/>
    <x v="3"/>
    <x v="0"/>
    <x v="2"/>
    <x v="1"/>
    <n v="9"/>
    <n v="9500"/>
    <n v="15"/>
    <n v="72675"/>
    <n v="59849.999999999993"/>
    <n v="12825.000000000009"/>
    <x v="2"/>
    <s v="Returned"/>
    <x v="9"/>
    <s v="Q1"/>
    <n v="2025"/>
    <n v="0.17647058823529424"/>
  </r>
  <r>
    <x v="26"/>
    <x v="26"/>
    <x v="25"/>
    <x v="22"/>
    <s v="P105"/>
    <x v="5"/>
    <x v="2"/>
    <x v="3"/>
    <x v="3"/>
    <n v="6"/>
    <n v="8500"/>
    <n v="20"/>
    <n v="40800"/>
    <n v="35700"/>
    <n v="5100"/>
    <x v="3"/>
    <s v="Returned"/>
    <x v="1"/>
    <s v="Q4"/>
    <n v="2025"/>
    <n v="0.125"/>
  </r>
  <r>
    <x v="27"/>
    <x v="27"/>
    <x v="17"/>
    <x v="23"/>
    <s v="P106"/>
    <x v="3"/>
    <x v="0"/>
    <x v="2"/>
    <x v="2"/>
    <n v="3"/>
    <n v="9500"/>
    <n v="10"/>
    <n v="25650"/>
    <n v="19950"/>
    <n v="5700"/>
    <x v="0"/>
    <s v="Returned"/>
    <x v="10"/>
    <s v="Q2"/>
    <n v="2025"/>
    <n v="0.22222222222222221"/>
  </r>
  <r>
    <x v="28"/>
    <x v="28"/>
    <x v="26"/>
    <x v="24"/>
    <s v="P102"/>
    <x v="1"/>
    <x v="0"/>
    <x v="3"/>
    <x v="0"/>
    <n v="7"/>
    <n v="800"/>
    <n v="0"/>
    <n v="5600"/>
    <n v="3920"/>
    <n v="1680"/>
    <x v="0"/>
    <s v="Pending"/>
    <x v="9"/>
    <s v="Q1"/>
    <n v="2025"/>
    <n v="0.3"/>
  </r>
  <r>
    <x v="29"/>
    <x v="29"/>
    <x v="27"/>
    <x v="25"/>
    <s v="P105"/>
    <x v="5"/>
    <x v="2"/>
    <x v="0"/>
    <x v="0"/>
    <n v="8"/>
    <n v="8500"/>
    <n v="15"/>
    <n v="57800"/>
    <n v="47600"/>
    <n v="10200"/>
    <x v="3"/>
    <s v="Returned"/>
    <x v="10"/>
    <s v="Q2"/>
    <n v="2025"/>
    <n v="0.17647058823529413"/>
  </r>
  <r>
    <x v="30"/>
    <x v="30"/>
    <x v="28"/>
    <x v="26"/>
    <s v="P107"/>
    <x v="0"/>
    <x v="0"/>
    <x v="0"/>
    <x v="0"/>
    <n v="8"/>
    <n v="3500"/>
    <n v="10"/>
    <n v="25200"/>
    <n v="19600"/>
    <n v="5600"/>
    <x v="0"/>
    <s v="Pending"/>
    <x v="9"/>
    <s v="Q1"/>
    <n v="2025"/>
    <n v="0.22222222222222221"/>
  </r>
  <r>
    <x v="31"/>
    <x v="31"/>
    <x v="29"/>
    <x v="27"/>
    <s v="P106"/>
    <x v="3"/>
    <x v="0"/>
    <x v="2"/>
    <x v="2"/>
    <n v="6"/>
    <n v="9500"/>
    <n v="10"/>
    <n v="51300"/>
    <n v="39900"/>
    <n v="11400"/>
    <x v="1"/>
    <s v="Pending"/>
    <x v="8"/>
    <s v="Q3"/>
    <n v="2025"/>
    <n v="0.22222222222222221"/>
  </r>
  <r>
    <x v="32"/>
    <x v="32"/>
    <x v="30"/>
    <x v="28"/>
    <s v="P108"/>
    <x v="4"/>
    <x v="1"/>
    <x v="2"/>
    <x v="1"/>
    <n v="4"/>
    <n v="3200"/>
    <n v="15"/>
    <n v="10880"/>
    <n v="8960"/>
    <n v="1920"/>
    <x v="1"/>
    <s v="Delivered"/>
    <x v="10"/>
    <s v="Q2"/>
    <n v="2025"/>
    <n v="0.17647058823529413"/>
  </r>
  <r>
    <x v="33"/>
    <x v="33"/>
    <x v="31"/>
    <x v="23"/>
    <s v="P104"/>
    <x v="7"/>
    <x v="2"/>
    <x v="3"/>
    <x v="5"/>
    <n v="2"/>
    <n v="4500"/>
    <n v="20"/>
    <n v="7200"/>
    <n v="6300"/>
    <n v="900"/>
    <x v="2"/>
    <s v="Delivered"/>
    <x v="10"/>
    <s v="Q2"/>
    <n v="2025"/>
    <n v="0.125"/>
  </r>
  <r>
    <x v="34"/>
    <x v="34"/>
    <x v="26"/>
    <x v="25"/>
    <s v="P107"/>
    <x v="0"/>
    <x v="0"/>
    <x v="1"/>
    <x v="5"/>
    <n v="4"/>
    <n v="3500"/>
    <n v="10"/>
    <n v="12600"/>
    <n v="9800"/>
    <n v="2800"/>
    <x v="2"/>
    <s v="Pending"/>
    <x v="2"/>
    <s v="Q2"/>
    <n v="2025"/>
    <n v="0.22222222222222221"/>
  </r>
  <r>
    <x v="35"/>
    <x v="21"/>
    <x v="32"/>
    <x v="17"/>
    <s v="P105"/>
    <x v="5"/>
    <x v="2"/>
    <x v="1"/>
    <x v="1"/>
    <n v="1"/>
    <n v="8500"/>
    <n v="15"/>
    <n v="7225"/>
    <n v="5950"/>
    <n v="1275"/>
    <x v="2"/>
    <s v="Pending"/>
    <x v="7"/>
    <s v="Q1"/>
    <n v="2025"/>
    <n v="0.17647058823529413"/>
  </r>
  <r>
    <x v="36"/>
    <x v="35"/>
    <x v="33"/>
    <x v="29"/>
    <s v="P101"/>
    <x v="2"/>
    <x v="0"/>
    <x v="0"/>
    <x v="5"/>
    <n v="9"/>
    <n v="55000"/>
    <n v="5"/>
    <n v="470250"/>
    <n v="346500"/>
    <n v="123750"/>
    <x v="2"/>
    <s v="Returned"/>
    <x v="0"/>
    <s v="Q4"/>
    <n v="2025"/>
    <n v="0.26315789473684209"/>
  </r>
  <r>
    <x v="37"/>
    <x v="36"/>
    <x v="34"/>
    <x v="11"/>
    <s v="P108"/>
    <x v="4"/>
    <x v="1"/>
    <x v="2"/>
    <x v="3"/>
    <n v="3"/>
    <n v="3200"/>
    <n v="5"/>
    <n v="9120"/>
    <n v="6720"/>
    <n v="2400"/>
    <x v="1"/>
    <s v="Delivered"/>
    <x v="9"/>
    <s v="Q1"/>
    <n v="2025"/>
    <n v="0.26315789473684209"/>
  </r>
  <r>
    <x v="38"/>
    <x v="37"/>
    <x v="35"/>
    <x v="29"/>
    <s v="P104"/>
    <x v="7"/>
    <x v="2"/>
    <x v="2"/>
    <x v="5"/>
    <n v="5"/>
    <n v="4500"/>
    <n v="20"/>
    <n v="18000"/>
    <n v="15750"/>
    <n v="2250.0000000000018"/>
    <x v="2"/>
    <s v="Pending"/>
    <x v="1"/>
    <s v="Q4"/>
    <n v="2025"/>
    <n v="0.12500000000000011"/>
  </r>
  <r>
    <x v="39"/>
    <x v="38"/>
    <x v="36"/>
    <x v="10"/>
    <s v="P101"/>
    <x v="2"/>
    <x v="0"/>
    <x v="3"/>
    <x v="3"/>
    <n v="7"/>
    <n v="55000"/>
    <n v="10"/>
    <n v="346500"/>
    <n v="269500"/>
    <n v="77000"/>
    <x v="0"/>
    <s v="Pending"/>
    <x v="4"/>
    <s v="Q4"/>
    <n v="2025"/>
    <n v="0.22222222222222221"/>
  </r>
  <r>
    <x v="40"/>
    <x v="39"/>
    <x v="22"/>
    <x v="30"/>
    <s v="P101"/>
    <x v="2"/>
    <x v="0"/>
    <x v="0"/>
    <x v="5"/>
    <n v="10"/>
    <n v="55000"/>
    <n v="20"/>
    <n v="440000"/>
    <n v="385000"/>
    <n v="55000"/>
    <x v="1"/>
    <s v="Pending"/>
    <x v="7"/>
    <s v="Q1"/>
    <n v="2025"/>
    <n v="0.125"/>
  </r>
  <r>
    <x v="41"/>
    <x v="40"/>
    <x v="37"/>
    <x v="31"/>
    <s v="P105"/>
    <x v="5"/>
    <x v="2"/>
    <x v="2"/>
    <x v="2"/>
    <n v="4"/>
    <n v="8500"/>
    <n v="20"/>
    <n v="27200"/>
    <n v="23800"/>
    <n v="3400"/>
    <x v="1"/>
    <s v="Pending"/>
    <x v="2"/>
    <s v="Q2"/>
    <n v="2025"/>
    <n v="0.125"/>
  </r>
  <r>
    <x v="42"/>
    <x v="41"/>
    <x v="36"/>
    <x v="32"/>
    <s v="P108"/>
    <x v="4"/>
    <x v="1"/>
    <x v="2"/>
    <x v="2"/>
    <n v="1"/>
    <n v="3200"/>
    <n v="15"/>
    <n v="2720"/>
    <n v="2240"/>
    <n v="480"/>
    <x v="1"/>
    <s v="Returned"/>
    <x v="7"/>
    <s v="Q1"/>
    <n v="2025"/>
    <n v="0.17647058823529413"/>
  </r>
  <r>
    <x v="43"/>
    <x v="42"/>
    <x v="38"/>
    <x v="33"/>
    <s v="P107"/>
    <x v="0"/>
    <x v="0"/>
    <x v="1"/>
    <x v="2"/>
    <n v="3"/>
    <n v="3500"/>
    <n v="10"/>
    <n v="9450"/>
    <n v="7349.9999999999991"/>
    <n v="2100.0000000000009"/>
    <x v="2"/>
    <s v="Pending"/>
    <x v="4"/>
    <s v="Q4"/>
    <n v="2025"/>
    <n v="0.22222222222222232"/>
  </r>
  <r>
    <x v="44"/>
    <x v="43"/>
    <x v="34"/>
    <x v="34"/>
    <s v="P101"/>
    <x v="2"/>
    <x v="0"/>
    <x v="2"/>
    <x v="1"/>
    <n v="9"/>
    <n v="55000"/>
    <n v="20"/>
    <n v="396000"/>
    <n v="346500"/>
    <n v="49500"/>
    <x v="0"/>
    <s v="Returned"/>
    <x v="4"/>
    <s v="Q4"/>
    <n v="2025"/>
    <n v="0.125"/>
  </r>
  <r>
    <x v="45"/>
    <x v="44"/>
    <x v="39"/>
    <x v="35"/>
    <s v="P106"/>
    <x v="3"/>
    <x v="0"/>
    <x v="2"/>
    <x v="4"/>
    <n v="5"/>
    <n v="9500"/>
    <n v="20"/>
    <n v="38000"/>
    <n v="33250"/>
    <n v="4750"/>
    <x v="1"/>
    <s v="Pending"/>
    <x v="6"/>
    <s v="Q2"/>
    <n v="2025"/>
    <n v="0.125"/>
  </r>
  <r>
    <x v="46"/>
    <x v="45"/>
    <x v="40"/>
    <x v="36"/>
    <s v="P102"/>
    <x v="1"/>
    <x v="0"/>
    <x v="1"/>
    <x v="3"/>
    <n v="7"/>
    <n v="800"/>
    <n v="10"/>
    <n v="5040"/>
    <n v="3920"/>
    <n v="1120"/>
    <x v="2"/>
    <s v="Returned"/>
    <x v="10"/>
    <s v="Q2"/>
    <n v="2025"/>
    <n v="0.22222222222222221"/>
  </r>
  <r>
    <x v="47"/>
    <x v="46"/>
    <x v="37"/>
    <x v="37"/>
    <s v="P107"/>
    <x v="0"/>
    <x v="0"/>
    <x v="3"/>
    <x v="3"/>
    <n v="7"/>
    <n v="3500"/>
    <n v="0"/>
    <n v="24500"/>
    <n v="17150"/>
    <n v="7350"/>
    <x v="2"/>
    <s v="Pending"/>
    <x v="9"/>
    <s v="Q1"/>
    <n v="2025"/>
    <n v="0.3"/>
  </r>
  <r>
    <x v="48"/>
    <x v="47"/>
    <x v="5"/>
    <x v="4"/>
    <s v="P102"/>
    <x v="1"/>
    <x v="0"/>
    <x v="3"/>
    <x v="2"/>
    <n v="3"/>
    <n v="800"/>
    <n v="0"/>
    <n v="2400"/>
    <n v="1680"/>
    <n v="720"/>
    <x v="1"/>
    <s v="Delivered"/>
    <x v="4"/>
    <s v="Q4"/>
    <n v="2025"/>
    <n v="0.3"/>
  </r>
  <r>
    <x v="49"/>
    <x v="48"/>
    <x v="41"/>
    <x v="38"/>
    <s v="P101"/>
    <x v="2"/>
    <x v="0"/>
    <x v="3"/>
    <x v="1"/>
    <n v="1"/>
    <n v="55000"/>
    <n v="10"/>
    <n v="49500"/>
    <n v="38500"/>
    <n v="11000"/>
    <x v="0"/>
    <s v="Returned"/>
    <x v="2"/>
    <s v="Q2"/>
    <n v="2025"/>
    <n v="0.22222222222222221"/>
  </r>
  <r>
    <x v="50"/>
    <x v="49"/>
    <x v="23"/>
    <x v="39"/>
    <s v="P104"/>
    <x v="7"/>
    <x v="2"/>
    <x v="2"/>
    <x v="5"/>
    <n v="8"/>
    <n v="4500"/>
    <n v="0"/>
    <n v="36000"/>
    <n v="25200"/>
    <n v="10800"/>
    <x v="1"/>
    <s v="Pending"/>
    <x v="3"/>
    <s v="Q1"/>
    <n v="2025"/>
    <n v="0.3"/>
  </r>
  <r>
    <x v="51"/>
    <x v="50"/>
    <x v="1"/>
    <x v="39"/>
    <s v="P105"/>
    <x v="5"/>
    <x v="2"/>
    <x v="2"/>
    <x v="4"/>
    <n v="9"/>
    <n v="8500"/>
    <n v="20"/>
    <n v="61200"/>
    <n v="53550"/>
    <n v="7650"/>
    <x v="1"/>
    <s v="Delivered"/>
    <x v="7"/>
    <s v="Q1"/>
    <n v="2025"/>
    <n v="0.125"/>
  </r>
  <r>
    <x v="52"/>
    <x v="51"/>
    <x v="23"/>
    <x v="40"/>
    <s v="P104"/>
    <x v="7"/>
    <x v="2"/>
    <x v="2"/>
    <x v="2"/>
    <n v="7"/>
    <n v="4500"/>
    <n v="20"/>
    <n v="25200"/>
    <n v="22050"/>
    <n v="3150"/>
    <x v="2"/>
    <s v="Delivered"/>
    <x v="4"/>
    <s v="Q4"/>
    <n v="2025"/>
    <n v="0.125"/>
  </r>
  <r>
    <x v="53"/>
    <x v="52"/>
    <x v="42"/>
    <x v="41"/>
    <s v="P103"/>
    <x v="6"/>
    <x v="0"/>
    <x v="2"/>
    <x v="2"/>
    <n v="6"/>
    <n v="1500"/>
    <n v="10"/>
    <n v="8100"/>
    <n v="6300"/>
    <n v="1800"/>
    <x v="0"/>
    <s v="Pending"/>
    <x v="10"/>
    <s v="Q2"/>
    <n v="2025"/>
    <n v="0.22222222222222221"/>
  </r>
  <r>
    <x v="54"/>
    <x v="47"/>
    <x v="38"/>
    <x v="36"/>
    <s v="P103"/>
    <x v="6"/>
    <x v="0"/>
    <x v="0"/>
    <x v="3"/>
    <n v="4"/>
    <n v="1500"/>
    <n v="0"/>
    <n v="6000"/>
    <n v="4200"/>
    <n v="1800"/>
    <x v="2"/>
    <s v="Delivered"/>
    <x v="4"/>
    <s v="Q4"/>
    <n v="2025"/>
    <n v="0.3"/>
  </r>
  <r>
    <x v="55"/>
    <x v="53"/>
    <x v="11"/>
    <x v="14"/>
    <s v="P105"/>
    <x v="5"/>
    <x v="2"/>
    <x v="2"/>
    <x v="1"/>
    <n v="10"/>
    <n v="8500"/>
    <n v="0"/>
    <n v="85000"/>
    <n v="59499.999999999993"/>
    <n v="25500.000000000011"/>
    <x v="1"/>
    <s v="Returned"/>
    <x v="11"/>
    <s v="Q3"/>
    <n v="2025"/>
    <n v="0.30000000000000016"/>
  </r>
  <r>
    <x v="56"/>
    <x v="54"/>
    <x v="43"/>
    <x v="42"/>
    <s v="P102"/>
    <x v="1"/>
    <x v="0"/>
    <x v="0"/>
    <x v="2"/>
    <n v="7"/>
    <n v="800"/>
    <n v="5"/>
    <n v="5320"/>
    <n v="3920"/>
    <n v="1400"/>
    <x v="3"/>
    <s v="Pending"/>
    <x v="10"/>
    <s v="Q2"/>
    <n v="2025"/>
    <n v="0.26315789473684209"/>
  </r>
  <r>
    <x v="57"/>
    <x v="29"/>
    <x v="44"/>
    <x v="43"/>
    <s v="P105"/>
    <x v="5"/>
    <x v="2"/>
    <x v="2"/>
    <x v="3"/>
    <n v="8"/>
    <n v="8500"/>
    <n v="10"/>
    <n v="61200"/>
    <n v="47600"/>
    <n v="13600"/>
    <x v="1"/>
    <s v="Delivered"/>
    <x v="10"/>
    <s v="Q2"/>
    <n v="2025"/>
    <n v="0.22222222222222221"/>
  </r>
  <r>
    <x v="58"/>
    <x v="55"/>
    <x v="26"/>
    <x v="44"/>
    <s v="P104"/>
    <x v="7"/>
    <x v="2"/>
    <x v="1"/>
    <x v="2"/>
    <n v="9"/>
    <n v="4500"/>
    <n v="0"/>
    <n v="40500"/>
    <n v="28350"/>
    <n v="12150"/>
    <x v="0"/>
    <s v="Pending"/>
    <x v="2"/>
    <s v="Q2"/>
    <n v="2025"/>
    <n v="0.3"/>
  </r>
  <r>
    <x v="59"/>
    <x v="25"/>
    <x v="45"/>
    <x v="45"/>
    <s v="P103"/>
    <x v="6"/>
    <x v="0"/>
    <x v="2"/>
    <x v="4"/>
    <n v="7"/>
    <n v="1500"/>
    <n v="10"/>
    <n v="9450"/>
    <n v="7349.9999999999991"/>
    <n v="2100.0000000000009"/>
    <x v="0"/>
    <s v="Returned"/>
    <x v="9"/>
    <s v="Q1"/>
    <n v="2025"/>
    <n v="0.22222222222222232"/>
  </r>
  <r>
    <x v="60"/>
    <x v="56"/>
    <x v="19"/>
    <x v="14"/>
    <s v="P104"/>
    <x v="7"/>
    <x v="2"/>
    <x v="1"/>
    <x v="3"/>
    <n v="1"/>
    <n v="4500"/>
    <n v="0"/>
    <n v="4500"/>
    <n v="3150"/>
    <n v="1350"/>
    <x v="2"/>
    <s v="Pending"/>
    <x v="7"/>
    <s v="Q1"/>
    <n v="2025"/>
    <n v="0.3"/>
  </r>
  <r>
    <x v="61"/>
    <x v="57"/>
    <x v="12"/>
    <x v="41"/>
    <s v="P103"/>
    <x v="6"/>
    <x v="0"/>
    <x v="1"/>
    <x v="0"/>
    <n v="6"/>
    <n v="1500"/>
    <n v="15"/>
    <n v="7650"/>
    <n v="6300"/>
    <n v="1350"/>
    <x v="2"/>
    <s v="Pending"/>
    <x v="11"/>
    <s v="Q3"/>
    <n v="2025"/>
    <n v="0.17647058823529413"/>
  </r>
  <r>
    <x v="62"/>
    <x v="58"/>
    <x v="46"/>
    <x v="46"/>
    <s v="P103"/>
    <x v="6"/>
    <x v="0"/>
    <x v="0"/>
    <x v="5"/>
    <n v="6"/>
    <n v="1500"/>
    <n v="0"/>
    <n v="9000"/>
    <n v="6300"/>
    <n v="2700"/>
    <x v="1"/>
    <s v="Pending"/>
    <x v="0"/>
    <s v="Q4"/>
    <n v="2025"/>
    <n v="0.3"/>
  </r>
  <r>
    <x v="63"/>
    <x v="36"/>
    <x v="2"/>
    <x v="4"/>
    <s v="P106"/>
    <x v="3"/>
    <x v="0"/>
    <x v="2"/>
    <x v="4"/>
    <n v="5"/>
    <n v="9500"/>
    <n v="0"/>
    <n v="47500"/>
    <n v="33250"/>
    <n v="14250"/>
    <x v="2"/>
    <s v="Pending"/>
    <x v="9"/>
    <s v="Q1"/>
    <n v="2025"/>
    <n v="0.3"/>
  </r>
  <r>
    <x v="64"/>
    <x v="59"/>
    <x v="47"/>
    <x v="44"/>
    <s v="P104"/>
    <x v="7"/>
    <x v="2"/>
    <x v="2"/>
    <x v="4"/>
    <n v="4"/>
    <n v="4500"/>
    <n v="15"/>
    <n v="15300"/>
    <n v="12600"/>
    <n v="2700"/>
    <x v="1"/>
    <s v="Pending"/>
    <x v="5"/>
    <s v="Q3"/>
    <n v="2025"/>
    <n v="0.17647058823529413"/>
  </r>
  <r>
    <x v="65"/>
    <x v="60"/>
    <x v="48"/>
    <x v="10"/>
    <s v="P106"/>
    <x v="3"/>
    <x v="0"/>
    <x v="3"/>
    <x v="1"/>
    <n v="2"/>
    <n v="9500"/>
    <n v="10"/>
    <n v="17100"/>
    <n v="13300"/>
    <n v="3800"/>
    <x v="0"/>
    <s v="Returned"/>
    <x v="9"/>
    <s v="Q1"/>
    <n v="2025"/>
    <n v="0.22222222222222221"/>
  </r>
  <r>
    <x v="66"/>
    <x v="61"/>
    <x v="49"/>
    <x v="32"/>
    <s v="P106"/>
    <x v="3"/>
    <x v="0"/>
    <x v="0"/>
    <x v="4"/>
    <n v="3"/>
    <n v="9500"/>
    <n v="20"/>
    <n v="22800"/>
    <n v="19950"/>
    <n v="2850"/>
    <x v="3"/>
    <s v="Delivered"/>
    <x v="4"/>
    <s v="Q4"/>
    <n v="2025"/>
    <n v="0.125"/>
  </r>
  <r>
    <x v="67"/>
    <x v="62"/>
    <x v="42"/>
    <x v="22"/>
    <s v="P107"/>
    <x v="0"/>
    <x v="0"/>
    <x v="1"/>
    <x v="2"/>
    <n v="6"/>
    <n v="3500"/>
    <n v="5"/>
    <n v="19950"/>
    <n v="14700"/>
    <n v="5250.0000000000018"/>
    <x v="0"/>
    <s v="Delivered"/>
    <x v="1"/>
    <s v="Q4"/>
    <n v="2025"/>
    <n v="0.2631578947368422"/>
  </r>
  <r>
    <x v="68"/>
    <x v="17"/>
    <x v="50"/>
    <x v="14"/>
    <s v="P108"/>
    <x v="4"/>
    <x v="1"/>
    <x v="0"/>
    <x v="0"/>
    <n v="4"/>
    <n v="3200"/>
    <n v="10"/>
    <n v="11520"/>
    <n v="8960"/>
    <n v="2560"/>
    <x v="0"/>
    <s v="Pending"/>
    <x v="7"/>
    <s v="Q1"/>
    <n v="2025"/>
    <n v="0.22222222222222221"/>
  </r>
  <r>
    <x v="69"/>
    <x v="63"/>
    <x v="51"/>
    <x v="47"/>
    <s v="P101"/>
    <x v="2"/>
    <x v="0"/>
    <x v="0"/>
    <x v="3"/>
    <n v="1"/>
    <n v="55000"/>
    <n v="15"/>
    <n v="46750"/>
    <n v="38500"/>
    <n v="8250"/>
    <x v="2"/>
    <s v="Returned"/>
    <x v="6"/>
    <s v="Q2"/>
    <n v="2025"/>
    <n v="0.17647058823529413"/>
  </r>
  <r>
    <x v="70"/>
    <x v="64"/>
    <x v="45"/>
    <x v="48"/>
    <s v="P102"/>
    <x v="1"/>
    <x v="0"/>
    <x v="3"/>
    <x v="5"/>
    <n v="4"/>
    <n v="800"/>
    <n v="0"/>
    <n v="3200"/>
    <n v="2240"/>
    <n v="960"/>
    <x v="3"/>
    <s v="Delivered"/>
    <x v="6"/>
    <s v="Q2"/>
    <n v="2025"/>
    <n v="0.3"/>
  </r>
  <r>
    <x v="71"/>
    <x v="65"/>
    <x v="52"/>
    <x v="41"/>
    <s v="P103"/>
    <x v="6"/>
    <x v="0"/>
    <x v="2"/>
    <x v="4"/>
    <n v="4"/>
    <n v="1500"/>
    <n v="5"/>
    <n v="5700"/>
    <n v="4200"/>
    <n v="1500"/>
    <x v="1"/>
    <s v="Returned"/>
    <x v="1"/>
    <s v="Q4"/>
    <n v="2025"/>
    <n v="0.26315789473684209"/>
  </r>
  <r>
    <x v="72"/>
    <x v="66"/>
    <x v="16"/>
    <x v="1"/>
    <s v="P106"/>
    <x v="3"/>
    <x v="0"/>
    <x v="2"/>
    <x v="4"/>
    <n v="6"/>
    <n v="9500"/>
    <n v="20"/>
    <n v="45600"/>
    <n v="39900"/>
    <n v="5700"/>
    <x v="2"/>
    <s v="Delivered"/>
    <x v="9"/>
    <s v="Q1"/>
    <n v="2025"/>
    <n v="0.125"/>
  </r>
  <r>
    <x v="73"/>
    <x v="67"/>
    <x v="53"/>
    <x v="49"/>
    <s v="P101"/>
    <x v="2"/>
    <x v="0"/>
    <x v="3"/>
    <x v="0"/>
    <n v="6"/>
    <n v="55000"/>
    <n v="15"/>
    <n v="280500"/>
    <n v="231000"/>
    <n v="49500.000000000029"/>
    <x v="1"/>
    <s v="Pending"/>
    <x v="0"/>
    <s v="Q4"/>
    <n v="2025"/>
    <n v="0.17647058823529421"/>
  </r>
  <r>
    <x v="74"/>
    <x v="10"/>
    <x v="54"/>
    <x v="33"/>
    <s v="P102"/>
    <x v="1"/>
    <x v="0"/>
    <x v="2"/>
    <x v="2"/>
    <n v="6"/>
    <n v="800"/>
    <n v="0"/>
    <n v="4800"/>
    <n v="3360"/>
    <n v="1440"/>
    <x v="0"/>
    <s v="Pending"/>
    <x v="6"/>
    <s v="Q2"/>
    <n v="2025"/>
    <n v="0.3"/>
  </r>
  <r>
    <x v="75"/>
    <x v="68"/>
    <x v="55"/>
    <x v="50"/>
    <s v="P102"/>
    <x v="1"/>
    <x v="0"/>
    <x v="3"/>
    <x v="5"/>
    <n v="8"/>
    <n v="800"/>
    <n v="5"/>
    <n v="6080"/>
    <n v="4480"/>
    <n v="1600"/>
    <x v="3"/>
    <s v="Delivered"/>
    <x v="5"/>
    <s v="Q3"/>
    <n v="2025"/>
    <n v="0.26315789473684209"/>
  </r>
  <r>
    <x v="76"/>
    <x v="7"/>
    <x v="56"/>
    <x v="51"/>
    <s v="P108"/>
    <x v="4"/>
    <x v="1"/>
    <x v="1"/>
    <x v="2"/>
    <n v="10"/>
    <n v="3200"/>
    <n v="0"/>
    <n v="32000"/>
    <n v="22400"/>
    <n v="9600"/>
    <x v="0"/>
    <s v="Pending"/>
    <x v="5"/>
    <s v="Q3"/>
    <n v="2025"/>
    <n v="0.3"/>
  </r>
  <r>
    <x v="77"/>
    <x v="69"/>
    <x v="24"/>
    <x v="52"/>
    <s v="P105"/>
    <x v="5"/>
    <x v="2"/>
    <x v="3"/>
    <x v="4"/>
    <n v="9"/>
    <n v="8500"/>
    <n v="5"/>
    <n v="72675"/>
    <n v="53550"/>
    <n v="19125"/>
    <x v="3"/>
    <s v="Delivered"/>
    <x v="6"/>
    <s v="Q2"/>
    <n v="2025"/>
    <n v="0.26315789473684209"/>
  </r>
  <r>
    <x v="78"/>
    <x v="70"/>
    <x v="57"/>
    <x v="4"/>
    <s v="P101"/>
    <x v="2"/>
    <x v="0"/>
    <x v="2"/>
    <x v="4"/>
    <n v="10"/>
    <n v="55000"/>
    <n v="20"/>
    <n v="440000"/>
    <n v="385000"/>
    <n v="55000"/>
    <x v="0"/>
    <s v="Pending"/>
    <x v="8"/>
    <s v="Q3"/>
    <n v="2025"/>
    <n v="0.125"/>
  </r>
  <r>
    <x v="79"/>
    <x v="71"/>
    <x v="9"/>
    <x v="18"/>
    <s v="P107"/>
    <x v="0"/>
    <x v="0"/>
    <x v="0"/>
    <x v="0"/>
    <n v="4"/>
    <n v="3500"/>
    <n v="10"/>
    <n v="12600"/>
    <n v="9800"/>
    <n v="2800"/>
    <x v="0"/>
    <s v="Returned"/>
    <x v="8"/>
    <s v="Q3"/>
    <n v="2025"/>
    <n v="0.22222222222222221"/>
  </r>
  <r>
    <x v="80"/>
    <x v="72"/>
    <x v="2"/>
    <x v="49"/>
    <s v="P106"/>
    <x v="3"/>
    <x v="0"/>
    <x v="1"/>
    <x v="1"/>
    <n v="5"/>
    <n v="9500"/>
    <n v="15"/>
    <n v="40375"/>
    <n v="33250"/>
    <n v="7125"/>
    <x v="3"/>
    <s v="Delivered"/>
    <x v="10"/>
    <s v="Q2"/>
    <n v="2025"/>
    <n v="0.17647058823529413"/>
  </r>
  <r>
    <x v="81"/>
    <x v="73"/>
    <x v="58"/>
    <x v="53"/>
    <s v="P103"/>
    <x v="6"/>
    <x v="0"/>
    <x v="1"/>
    <x v="2"/>
    <n v="8"/>
    <n v="1500"/>
    <n v="20"/>
    <n v="9600"/>
    <n v="8400"/>
    <n v="1200"/>
    <x v="0"/>
    <s v="Delivered"/>
    <x v="6"/>
    <s v="Q2"/>
    <n v="2025"/>
    <n v="0.125"/>
  </r>
  <r>
    <x v="82"/>
    <x v="74"/>
    <x v="32"/>
    <x v="8"/>
    <s v="P102"/>
    <x v="1"/>
    <x v="0"/>
    <x v="0"/>
    <x v="1"/>
    <n v="4"/>
    <n v="800"/>
    <n v="5"/>
    <n v="3040"/>
    <n v="2240"/>
    <n v="800"/>
    <x v="3"/>
    <s v="Returned"/>
    <x v="0"/>
    <s v="Q4"/>
    <n v="2025"/>
    <n v="0.26315789473684209"/>
  </r>
  <r>
    <x v="83"/>
    <x v="75"/>
    <x v="59"/>
    <x v="41"/>
    <s v="P104"/>
    <x v="7"/>
    <x v="2"/>
    <x v="3"/>
    <x v="0"/>
    <n v="8"/>
    <n v="4500"/>
    <n v="10"/>
    <n v="32400"/>
    <n v="25200"/>
    <n v="7200"/>
    <x v="3"/>
    <s v="Pending"/>
    <x v="0"/>
    <s v="Q4"/>
    <n v="2025"/>
    <n v="0.22222222222222221"/>
  </r>
  <r>
    <x v="84"/>
    <x v="76"/>
    <x v="60"/>
    <x v="54"/>
    <s v="P104"/>
    <x v="7"/>
    <x v="2"/>
    <x v="1"/>
    <x v="5"/>
    <n v="3"/>
    <n v="4500"/>
    <n v="20"/>
    <n v="10800"/>
    <n v="9450"/>
    <n v="1350"/>
    <x v="1"/>
    <s v="Returned"/>
    <x v="2"/>
    <s v="Q2"/>
    <n v="2025"/>
    <n v="0.125"/>
  </r>
  <r>
    <x v="85"/>
    <x v="16"/>
    <x v="32"/>
    <x v="39"/>
    <s v="P101"/>
    <x v="2"/>
    <x v="0"/>
    <x v="0"/>
    <x v="4"/>
    <n v="1"/>
    <n v="55000"/>
    <n v="20"/>
    <n v="44000"/>
    <n v="38500"/>
    <n v="5500"/>
    <x v="0"/>
    <s v="Pending"/>
    <x v="1"/>
    <s v="Q4"/>
    <n v="2025"/>
    <n v="0.125"/>
  </r>
  <r>
    <x v="86"/>
    <x v="77"/>
    <x v="46"/>
    <x v="55"/>
    <s v="P107"/>
    <x v="0"/>
    <x v="0"/>
    <x v="0"/>
    <x v="5"/>
    <n v="3"/>
    <n v="3500"/>
    <n v="20"/>
    <n v="8400"/>
    <n v="7349.9999999999991"/>
    <n v="1050.0000000000009"/>
    <x v="3"/>
    <s v="Delivered"/>
    <x v="10"/>
    <s v="Q2"/>
    <n v="2025"/>
    <n v="0.12500000000000011"/>
  </r>
  <r>
    <x v="87"/>
    <x v="3"/>
    <x v="49"/>
    <x v="56"/>
    <s v="P102"/>
    <x v="1"/>
    <x v="0"/>
    <x v="3"/>
    <x v="3"/>
    <n v="10"/>
    <n v="800"/>
    <n v="5"/>
    <n v="7600"/>
    <n v="5600"/>
    <n v="2000"/>
    <x v="2"/>
    <s v="Delivered"/>
    <x v="3"/>
    <s v="Q1"/>
    <n v="2025"/>
    <n v="0.26315789473684209"/>
  </r>
  <r>
    <x v="88"/>
    <x v="78"/>
    <x v="43"/>
    <x v="8"/>
    <s v="P102"/>
    <x v="1"/>
    <x v="0"/>
    <x v="0"/>
    <x v="3"/>
    <n v="5"/>
    <n v="800"/>
    <n v="15"/>
    <n v="3400"/>
    <n v="2800"/>
    <n v="600"/>
    <x v="1"/>
    <s v="Pending"/>
    <x v="8"/>
    <s v="Q3"/>
    <n v="2025"/>
    <n v="0.17647058823529413"/>
  </r>
  <r>
    <x v="89"/>
    <x v="79"/>
    <x v="61"/>
    <x v="57"/>
    <s v="P108"/>
    <x v="4"/>
    <x v="1"/>
    <x v="3"/>
    <x v="4"/>
    <n v="7"/>
    <n v="3200"/>
    <n v="5"/>
    <n v="21280"/>
    <n v="15680"/>
    <n v="5600.0000000000018"/>
    <x v="1"/>
    <s v="Delivered"/>
    <x v="6"/>
    <s v="Q2"/>
    <n v="2025"/>
    <n v="0.2631578947368422"/>
  </r>
  <r>
    <x v="90"/>
    <x v="80"/>
    <x v="30"/>
    <x v="37"/>
    <s v="P102"/>
    <x v="1"/>
    <x v="0"/>
    <x v="0"/>
    <x v="1"/>
    <n v="2"/>
    <n v="800"/>
    <n v="10"/>
    <n v="1440"/>
    <n v="1120"/>
    <n v="320"/>
    <x v="2"/>
    <s v="Delivered"/>
    <x v="3"/>
    <s v="Q1"/>
    <n v="2025"/>
    <n v="0.22222222222222221"/>
  </r>
  <r>
    <x v="91"/>
    <x v="22"/>
    <x v="62"/>
    <x v="41"/>
    <s v="P107"/>
    <x v="0"/>
    <x v="0"/>
    <x v="0"/>
    <x v="2"/>
    <n v="7"/>
    <n v="3500"/>
    <n v="15"/>
    <n v="20825"/>
    <n v="17150"/>
    <n v="3675"/>
    <x v="1"/>
    <s v="Returned"/>
    <x v="0"/>
    <s v="Q4"/>
    <n v="2025"/>
    <n v="0.17647058823529413"/>
  </r>
  <r>
    <x v="92"/>
    <x v="81"/>
    <x v="41"/>
    <x v="33"/>
    <s v="P104"/>
    <x v="7"/>
    <x v="2"/>
    <x v="3"/>
    <x v="5"/>
    <n v="4"/>
    <n v="4500"/>
    <n v="15"/>
    <n v="15300"/>
    <n v="12600"/>
    <n v="2700"/>
    <x v="1"/>
    <s v="Delivered"/>
    <x v="8"/>
    <s v="Q3"/>
    <n v="2025"/>
    <n v="0.17647058823529413"/>
  </r>
  <r>
    <x v="93"/>
    <x v="16"/>
    <x v="63"/>
    <x v="57"/>
    <s v="P102"/>
    <x v="1"/>
    <x v="0"/>
    <x v="0"/>
    <x v="1"/>
    <n v="10"/>
    <n v="800"/>
    <n v="20"/>
    <n v="6400"/>
    <n v="5600"/>
    <n v="800"/>
    <x v="2"/>
    <s v="Pending"/>
    <x v="1"/>
    <s v="Q4"/>
    <n v="2025"/>
    <n v="0.125"/>
  </r>
  <r>
    <x v="94"/>
    <x v="82"/>
    <x v="64"/>
    <x v="2"/>
    <s v="P103"/>
    <x v="6"/>
    <x v="0"/>
    <x v="3"/>
    <x v="1"/>
    <n v="5"/>
    <n v="1500"/>
    <n v="15"/>
    <n v="6375"/>
    <n v="5250"/>
    <n v="1125"/>
    <x v="0"/>
    <s v="Delivered"/>
    <x v="1"/>
    <s v="Q4"/>
    <n v="2025"/>
    <n v="0.17647058823529413"/>
  </r>
  <r>
    <x v="95"/>
    <x v="83"/>
    <x v="2"/>
    <x v="41"/>
    <s v="P108"/>
    <x v="4"/>
    <x v="1"/>
    <x v="3"/>
    <x v="5"/>
    <n v="6"/>
    <n v="3200"/>
    <n v="5"/>
    <n v="18240"/>
    <n v="13440"/>
    <n v="4800"/>
    <x v="0"/>
    <s v="Delivered"/>
    <x v="9"/>
    <s v="Q1"/>
    <n v="2025"/>
    <n v="0.26315789473684209"/>
  </r>
  <r>
    <x v="96"/>
    <x v="84"/>
    <x v="65"/>
    <x v="17"/>
    <s v="P103"/>
    <x v="6"/>
    <x v="0"/>
    <x v="2"/>
    <x v="4"/>
    <n v="1"/>
    <n v="1500"/>
    <n v="0"/>
    <n v="1500"/>
    <n v="1050"/>
    <n v="450"/>
    <x v="0"/>
    <s v="Returned"/>
    <x v="11"/>
    <s v="Q3"/>
    <n v="2025"/>
    <n v="0.3"/>
  </r>
  <r>
    <x v="97"/>
    <x v="85"/>
    <x v="48"/>
    <x v="58"/>
    <s v="P102"/>
    <x v="1"/>
    <x v="0"/>
    <x v="0"/>
    <x v="2"/>
    <n v="2"/>
    <n v="800"/>
    <n v="10"/>
    <n v="1440"/>
    <n v="1120"/>
    <n v="320"/>
    <x v="2"/>
    <s v="Returned"/>
    <x v="4"/>
    <s v="Q4"/>
    <n v="2025"/>
    <n v="0.22222222222222221"/>
  </r>
  <r>
    <x v="98"/>
    <x v="55"/>
    <x v="66"/>
    <x v="59"/>
    <s v="P103"/>
    <x v="6"/>
    <x v="0"/>
    <x v="1"/>
    <x v="0"/>
    <n v="4"/>
    <n v="1500"/>
    <n v="0"/>
    <n v="6000"/>
    <n v="4200"/>
    <n v="1800"/>
    <x v="0"/>
    <s v="Delivered"/>
    <x v="2"/>
    <s v="Q2"/>
    <n v="2025"/>
    <n v="0.3"/>
  </r>
  <r>
    <x v="99"/>
    <x v="86"/>
    <x v="67"/>
    <x v="60"/>
    <s v="P101"/>
    <x v="2"/>
    <x v="0"/>
    <x v="2"/>
    <x v="3"/>
    <n v="10"/>
    <n v="55000"/>
    <n v="20"/>
    <n v="440000"/>
    <n v="385000"/>
    <n v="55000"/>
    <x v="3"/>
    <s v="Delivered"/>
    <x v="7"/>
    <s v="Q1"/>
    <n v="2025"/>
    <n v="0.125"/>
  </r>
  <r>
    <x v="100"/>
    <x v="87"/>
    <x v="68"/>
    <x v="46"/>
    <s v="P101"/>
    <x v="2"/>
    <x v="0"/>
    <x v="3"/>
    <x v="5"/>
    <n v="7"/>
    <n v="55000"/>
    <n v="15"/>
    <n v="327250"/>
    <n v="269500"/>
    <n v="57750"/>
    <x v="3"/>
    <s v="Pending"/>
    <x v="5"/>
    <s v="Q3"/>
    <n v="2025"/>
    <n v="0.17647058823529413"/>
  </r>
  <r>
    <x v="101"/>
    <x v="88"/>
    <x v="23"/>
    <x v="61"/>
    <s v="P107"/>
    <x v="0"/>
    <x v="0"/>
    <x v="2"/>
    <x v="3"/>
    <n v="6"/>
    <n v="3500"/>
    <n v="10"/>
    <n v="18900"/>
    <n v="14700"/>
    <n v="4200.0000000000018"/>
    <x v="1"/>
    <s v="Returned"/>
    <x v="7"/>
    <s v="Q1"/>
    <n v="2025"/>
    <n v="0.22222222222222232"/>
  </r>
  <r>
    <x v="102"/>
    <x v="89"/>
    <x v="68"/>
    <x v="28"/>
    <s v="P106"/>
    <x v="3"/>
    <x v="0"/>
    <x v="1"/>
    <x v="5"/>
    <n v="9"/>
    <n v="9500"/>
    <n v="10"/>
    <n v="76950"/>
    <n v="59849.999999999993"/>
    <n v="17100.000000000011"/>
    <x v="3"/>
    <s v="Pending"/>
    <x v="3"/>
    <s v="Q1"/>
    <n v="2025"/>
    <n v="0.22222222222222238"/>
  </r>
  <r>
    <x v="103"/>
    <x v="90"/>
    <x v="17"/>
    <x v="18"/>
    <s v="P103"/>
    <x v="6"/>
    <x v="0"/>
    <x v="0"/>
    <x v="3"/>
    <n v="5"/>
    <n v="1500"/>
    <n v="10"/>
    <n v="6750"/>
    <n v="5250"/>
    <n v="1500"/>
    <x v="2"/>
    <s v="Delivered"/>
    <x v="6"/>
    <s v="Q2"/>
    <n v="2025"/>
    <n v="0.22222222222222221"/>
  </r>
  <r>
    <x v="104"/>
    <x v="91"/>
    <x v="55"/>
    <x v="34"/>
    <s v="P104"/>
    <x v="7"/>
    <x v="2"/>
    <x v="0"/>
    <x v="5"/>
    <n v="7"/>
    <n v="4500"/>
    <n v="15"/>
    <n v="26775"/>
    <n v="22050"/>
    <n v="4725"/>
    <x v="0"/>
    <s v="Delivered"/>
    <x v="7"/>
    <s v="Q1"/>
    <n v="2025"/>
    <n v="0.17647058823529413"/>
  </r>
  <r>
    <x v="105"/>
    <x v="92"/>
    <x v="12"/>
    <x v="38"/>
    <s v="P103"/>
    <x v="6"/>
    <x v="0"/>
    <x v="0"/>
    <x v="5"/>
    <n v="5"/>
    <n v="1500"/>
    <n v="15"/>
    <n v="6375"/>
    <n v="5250"/>
    <n v="1125"/>
    <x v="3"/>
    <s v="Pending"/>
    <x v="5"/>
    <s v="Q3"/>
    <n v="2025"/>
    <n v="0.17647058823529413"/>
  </r>
  <r>
    <x v="106"/>
    <x v="93"/>
    <x v="69"/>
    <x v="59"/>
    <s v="P106"/>
    <x v="3"/>
    <x v="0"/>
    <x v="2"/>
    <x v="0"/>
    <n v="6"/>
    <n v="9500"/>
    <n v="5"/>
    <n v="54150"/>
    <n v="39900"/>
    <n v="14250"/>
    <x v="0"/>
    <s v="Delivered"/>
    <x v="5"/>
    <s v="Q3"/>
    <n v="2025"/>
    <n v="0.26315789473684209"/>
  </r>
  <r>
    <x v="107"/>
    <x v="94"/>
    <x v="46"/>
    <x v="62"/>
    <s v="P107"/>
    <x v="0"/>
    <x v="0"/>
    <x v="2"/>
    <x v="3"/>
    <n v="1"/>
    <n v="3500"/>
    <n v="10"/>
    <n v="3150"/>
    <n v="2450"/>
    <n v="700"/>
    <x v="1"/>
    <s v="Pending"/>
    <x v="10"/>
    <s v="Q2"/>
    <n v="2025"/>
    <n v="0.22222222222222221"/>
  </r>
  <r>
    <x v="108"/>
    <x v="72"/>
    <x v="13"/>
    <x v="63"/>
    <s v="P107"/>
    <x v="0"/>
    <x v="0"/>
    <x v="2"/>
    <x v="1"/>
    <n v="1"/>
    <n v="3500"/>
    <n v="15"/>
    <n v="2975"/>
    <n v="2450"/>
    <n v="525"/>
    <x v="2"/>
    <s v="Pending"/>
    <x v="10"/>
    <s v="Q2"/>
    <n v="2025"/>
    <n v="0.17647058823529413"/>
  </r>
  <r>
    <x v="109"/>
    <x v="95"/>
    <x v="13"/>
    <x v="54"/>
    <s v="P104"/>
    <x v="7"/>
    <x v="2"/>
    <x v="0"/>
    <x v="2"/>
    <n v="2"/>
    <n v="4500"/>
    <n v="20"/>
    <n v="7200"/>
    <n v="6300"/>
    <n v="900"/>
    <x v="2"/>
    <s v="Pending"/>
    <x v="10"/>
    <s v="Q2"/>
    <n v="2025"/>
    <n v="0.125"/>
  </r>
  <r>
    <x v="110"/>
    <x v="96"/>
    <x v="23"/>
    <x v="7"/>
    <s v="P105"/>
    <x v="5"/>
    <x v="2"/>
    <x v="3"/>
    <x v="2"/>
    <n v="6"/>
    <n v="8500"/>
    <n v="10"/>
    <n v="45900"/>
    <n v="35700"/>
    <n v="10200"/>
    <x v="0"/>
    <s v="Delivered"/>
    <x v="10"/>
    <s v="Q2"/>
    <n v="2025"/>
    <n v="0.22222222222222221"/>
  </r>
  <r>
    <x v="111"/>
    <x v="97"/>
    <x v="53"/>
    <x v="44"/>
    <s v="P105"/>
    <x v="5"/>
    <x v="2"/>
    <x v="0"/>
    <x v="5"/>
    <n v="9"/>
    <n v="8500"/>
    <n v="5"/>
    <n v="72675"/>
    <n v="53550"/>
    <n v="19125"/>
    <x v="2"/>
    <s v="Returned"/>
    <x v="0"/>
    <s v="Q4"/>
    <n v="2025"/>
    <n v="0.26315789473684209"/>
  </r>
  <r>
    <x v="112"/>
    <x v="58"/>
    <x v="7"/>
    <x v="49"/>
    <s v="P105"/>
    <x v="5"/>
    <x v="2"/>
    <x v="0"/>
    <x v="0"/>
    <n v="6"/>
    <n v="8500"/>
    <n v="20"/>
    <n v="40800"/>
    <n v="35700"/>
    <n v="5100"/>
    <x v="2"/>
    <s v="Delivered"/>
    <x v="0"/>
    <s v="Q4"/>
    <n v="2025"/>
    <n v="0.125"/>
  </r>
  <r>
    <x v="113"/>
    <x v="98"/>
    <x v="64"/>
    <x v="31"/>
    <s v="P104"/>
    <x v="7"/>
    <x v="2"/>
    <x v="1"/>
    <x v="4"/>
    <n v="7"/>
    <n v="4500"/>
    <n v="5"/>
    <n v="29925"/>
    <n v="22050"/>
    <n v="7875"/>
    <x v="3"/>
    <s v="Pending"/>
    <x v="10"/>
    <s v="Q2"/>
    <n v="2025"/>
    <n v="0.26315789473684209"/>
  </r>
  <r>
    <x v="114"/>
    <x v="99"/>
    <x v="70"/>
    <x v="41"/>
    <s v="P107"/>
    <x v="0"/>
    <x v="0"/>
    <x v="2"/>
    <x v="3"/>
    <n v="2"/>
    <n v="3500"/>
    <n v="10"/>
    <n v="6300"/>
    <n v="4900"/>
    <n v="1400"/>
    <x v="3"/>
    <s v="Pending"/>
    <x v="2"/>
    <s v="Q2"/>
    <n v="2025"/>
    <n v="0.22222222222222221"/>
  </r>
  <r>
    <x v="115"/>
    <x v="83"/>
    <x v="35"/>
    <x v="18"/>
    <s v="P104"/>
    <x v="7"/>
    <x v="2"/>
    <x v="2"/>
    <x v="0"/>
    <n v="2"/>
    <n v="4500"/>
    <n v="15"/>
    <n v="7650"/>
    <n v="6300"/>
    <n v="1350"/>
    <x v="1"/>
    <s v="Returned"/>
    <x v="9"/>
    <s v="Q1"/>
    <n v="2025"/>
    <n v="0.17647058823529413"/>
  </r>
  <r>
    <x v="116"/>
    <x v="81"/>
    <x v="54"/>
    <x v="64"/>
    <s v="P106"/>
    <x v="3"/>
    <x v="0"/>
    <x v="3"/>
    <x v="5"/>
    <n v="1"/>
    <n v="9500"/>
    <n v="15"/>
    <n v="8075"/>
    <n v="6650"/>
    <n v="1425"/>
    <x v="0"/>
    <s v="Pending"/>
    <x v="8"/>
    <s v="Q3"/>
    <n v="2025"/>
    <n v="0.17647058823529413"/>
  </r>
  <r>
    <x v="117"/>
    <x v="13"/>
    <x v="12"/>
    <x v="32"/>
    <s v="P103"/>
    <x v="6"/>
    <x v="0"/>
    <x v="3"/>
    <x v="3"/>
    <n v="7"/>
    <n v="1500"/>
    <n v="0"/>
    <n v="10500"/>
    <n v="7349.9999999999991"/>
    <n v="3150.0000000000009"/>
    <x v="2"/>
    <s v="Pending"/>
    <x v="5"/>
    <s v="Q3"/>
    <n v="2025"/>
    <n v="0.3000000000000001"/>
  </r>
  <r>
    <x v="118"/>
    <x v="100"/>
    <x v="15"/>
    <x v="30"/>
    <s v="P107"/>
    <x v="0"/>
    <x v="0"/>
    <x v="0"/>
    <x v="5"/>
    <n v="3"/>
    <n v="3500"/>
    <n v="10"/>
    <n v="9450"/>
    <n v="7349.9999999999991"/>
    <n v="2100.0000000000009"/>
    <x v="0"/>
    <s v="Pending"/>
    <x v="3"/>
    <s v="Q1"/>
    <n v="2025"/>
    <n v="0.22222222222222232"/>
  </r>
  <r>
    <x v="119"/>
    <x v="101"/>
    <x v="29"/>
    <x v="25"/>
    <s v="P106"/>
    <x v="3"/>
    <x v="0"/>
    <x v="0"/>
    <x v="4"/>
    <n v="3"/>
    <n v="9500"/>
    <n v="0"/>
    <n v="28500"/>
    <n v="19950"/>
    <n v="8550"/>
    <x v="3"/>
    <s v="Delivered"/>
    <x v="0"/>
    <s v="Q4"/>
    <n v="2025"/>
    <n v="0.3"/>
  </r>
  <r>
    <x v="120"/>
    <x v="102"/>
    <x v="54"/>
    <x v="65"/>
    <s v="P106"/>
    <x v="3"/>
    <x v="0"/>
    <x v="0"/>
    <x v="0"/>
    <n v="6"/>
    <n v="9500"/>
    <n v="20"/>
    <n v="45600"/>
    <n v="39900"/>
    <n v="5700"/>
    <x v="0"/>
    <s v="Pending"/>
    <x v="1"/>
    <s v="Q4"/>
    <n v="2025"/>
    <n v="0.125"/>
  </r>
  <r>
    <x v="121"/>
    <x v="35"/>
    <x v="48"/>
    <x v="55"/>
    <s v="P108"/>
    <x v="4"/>
    <x v="1"/>
    <x v="1"/>
    <x v="4"/>
    <n v="8"/>
    <n v="3200"/>
    <n v="15"/>
    <n v="21760"/>
    <n v="17920"/>
    <n v="3840"/>
    <x v="3"/>
    <s v="Pending"/>
    <x v="0"/>
    <s v="Q4"/>
    <n v="2025"/>
    <n v="0.17647058823529413"/>
  </r>
  <r>
    <x v="122"/>
    <x v="103"/>
    <x v="67"/>
    <x v="59"/>
    <s v="P106"/>
    <x v="3"/>
    <x v="0"/>
    <x v="3"/>
    <x v="5"/>
    <n v="1"/>
    <n v="9500"/>
    <n v="0"/>
    <n v="9500"/>
    <n v="6650"/>
    <n v="2850"/>
    <x v="2"/>
    <s v="Pending"/>
    <x v="5"/>
    <s v="Q3"/>
    <n v="2025"/>
    <n v="0.3"/>
  </r>
  <r>
    <x v="123"/>
    <x v="104"/>
    <x v="70"/>
    <x v="61"/>
    <s v="P105"/>
    <x v="5"/>
    <x v="2"/>
    <x v="3"/>
    <x v="3"/>
    <n v="3"/>
    <n v="8500"/>
    <n v="20"/>
    <n v="20400"/>
    <n v="17850"/>
    <n v="2550"/>
    <x v="3"/>
    <s v="Delivered"/>
    <x v="1"/>
    <s v="Q4"/>
    <n v="2025"/>
    <n v="0.125"/>
  </r>
  <r>
    <x v="124"/>
    <x v="105"/>
    <x v="71"/>
    <x v="18"/>
    <s v="P102"/>
    <x v="1"/>
    <x v="0"/>
    <x v="3"/>
    <x v="0"/>
    <n v="7"/>
    <n v="800"/>
    <n v="0"/>
    <n v="5600"/>
    <n v="3920"/>
    <n v="1680"/>
    <x v="1"/>
    <s v="Pending"/>
    <x v="0"/>
    <s v="Q4"/>
    <n v="2025"/>
    <n v="0.3"/>
  </r>
  <r>
    <x v="125"/>
    <x v="106"/>
    <x v="13"/>
    <x v="66"/>
    <s v="P105"/>
    <x v="5"/>
    <x v="2"/>
    <x v="1"/>
    <x v="3"/>
    <n v="7"/>
    <n v="8500"/>
    <n v="15"/>
    <n v="50575"/>
    <n v="41650"/>
    <n v="8925"/>
    <x v="0"/>
    <s v="Pending"/>
    <x v="6"/>
    <s v="Q2"/>
    <n v="2025"/>
    <n v="0.17647058823529413"/>
  </r>
  <r>
    <x v="126"/>
    <x v="107"/>
    <x v="47"/>
    <x v="48"/>
    <s v="P103"/>
    <x v="6"/>
    <x v="0"/>
    <x v="3"/>
    <x v="2"/>
    <n v="7"/>
    <n v="1500"/>
    <n v="5"/>
    <n v="9975"/>
    <n v="7349.9999999999991"/>
    <n v="2625.0000000000009"/>
    <x v="3"/>
    <s v="Returned"/>
    <x v="8"/>
    <s v="Q3"/>
    <n v="2025"/>
    <n v="0.2631578947368422"/>
  </r>
  <r>
    <x v="127"/>
    <x v="108"/>
    <x v="31"/>
    <x v="67"/>
    <s v="P104"/>
    <x v="7"/>
    <x v="2"/>
    <x v="3"/>
    <x v="2"/>
    <n v="10"/>
    <n v="4500"/>
    <n v="15"/>
    <n v="38250"/>
    <n v="31500"/>
    <n v="6750.0000000000036"/>
    <x v="1"/>
    <s v="Returned"/>
    <x v="1"/>
    <s v="Q4"/>
    <n v="2025"/>
    <n v="0.17647058823529421"/>
  </r>
  <r>
    <x v="128"/>
    <x v="58"/>
    <x v="35"/>
    <x v="63"/>
    <s v="P103"/>
    <x v="6"/>
    <x v="0"/>
    <x v="3"/>
    <x v="0"/>
    <n v="2"/>
    <n v="1500"/>
    <n v="15"/>
    <n v="2550"/>
    <n v="2100"/>
    <n v="450"/>
    <x v="0"/>
    <s v="Delivered"/>
    <x v="0"/>
    <s v="Q4"/>
    <n v="2025"/>
    <n v="0.17647058823529413"/>
  </r>
  <r>
    <x v="129"/>
    <x v="6"/>
    <x v="72"/>
    <x v="45"/>
    <s v="P105"/>
    <x v="5"/>
    <x v="2"/>
    <x v="0"/>
    <x v="4"/>
    <n v="2"/>
    <n v="8500"/>
    <n v="5"/>
    <n v="16150"/>
    <n v="11900"/>
    <n v="4250"/>
    <x v="2"/>
    <s v="Pending"/>
    <x v="2"/>
    <s v="Q2"/>
    <n v="2025"/>
    <n v="0.26315789473684209"/>
  </r>
  <r>
    <x v="130"/>
    <x v="89"/>
    <x v="73"/>
    <x v="21"/>
    <s v="P108"/>
    <x v="4"/>
    <x v="1"/>
    <x v="1"/>
    <x v="5"/>
    <n v="9"/>
    <n v="3200"/>
    <n v="15"/>
    <n v="24480"/>
    <n v="20160"/>
    <n v="4320"/>
    <x v="2"/>
    <s v="Pending"/>
    <x v="3"/>
    <s v="Q1"/>
    <n v="2025"/>
    <n v="0.17647058823529413"/>
  </r>
  <r>
    <x v="131"/>
    <x v="7"/>
    <x v="59"/>
    <x v="19"/>
    <s v="P107"/>
    <x v="0"/>
    <x v="0"/>
    <x v="0"/>
    <x v="5"/>
    <n v="9"/>
    <n v="3500"/>
    <n v="20"/>
    <n v="25200"/>
    <n v="22050"/>
    <n v="3150"/>
    <x v="0"/>
    <s v="Pending"/>
    <x v="5"/>
    <s v="Q3"/>
    <n v="2025"/>
    <n v="0.125"/>
  </r>
  <r>
    <x v="132"/>
    <x v="99"/>
    <x v="66"/>
    <x v="12"/>
    <s v="P106"/>
    <x v="3"/>
    <x v="0"/>
    <x v="0"/>
    <x v="0"/>
    <n v="4"/>
    <n v="9500"/>
    <n v="5"/>
    <n v="36100"/>
    <n v="26600"/>
    <n v="9500"/>
    <x v="2"/>
    <s v="Delivered"/>
    <x v="2"/>
    <s v="Q2"/>
    <n v="2025"/>
    <n v="0.26315789473684209"/>
  </r>
  <r>
    <x v="133"/>
    <x v="109"/>
    <x v="64"/>
    <x v="68"/>
    <s v="P108"/>
    <x v="4"/>
    <x v="1"/>
    <x v="3"/>
    <x v="1"/>
    <n v="3"/>
    <n v="3200"/>
    <n v="20"/>
    <n v="7680"/>
    <n v="6720"/>
    <n v="960"/>
    <x v="2"/>
    <s v="Delivered"/>
    <x v="1"/>
    <s v="Q4"/>
    <n v="2025"/>
    <n v="0.125"/>
  </r>
  <r>
    <x v="134"/>
    <x v="26"/>
    <x v="11"/>
    <x v="47"/>
    <s v="P106"/>
    <x v="3"/>
    <x v="0"/>
    <x v="0"/>
    <x v="0"/>
    <n v="6"/>
    <n v="9500"/>
    <n v="20"/>
    <n v="45600"/>
    <n v="39900"/>
    <n v="5700"/>
    <x v="1"/>
    <s v="Returned"/>
    <x v="1"/>
    <s v="Q4"/>
    <n v="2025"/>
    <n v="0.125"/>
  </r>
  <r>
    <x v="135"/>
    <x v="110"/>
    <x v="74"/>
    <x v="36"/>
    <s v="P105"/>
    <x v="5"/>
    <x v="2"/>
    <x v="0"/>
    <x v="0"/>
    <n v="1"/>
    <n v="8500"/>
    <n v="0"/>
    <n v="8500"/>
    <n v="5950"/>
    <n v="2550"/>
    <x v="1"/>
    <s v="Pending"/>
    <x v="10"/>
    <s v="Q2"/>
    <n v="2025"/>
    <n v="0.3"/>
  </r>
  <r>
    <x v="136"/>
    <x v="111"/>
    <x v="75"/>
    <x v="41"/>
    <s v="P101"/>
    <x v="2"/>
    <x v="0"/>
    <x v="0"/>
    <x v="3"/>
    <n v="2"/>
    <n v="55000"/>
    <n v="10"/>
    <n v="99000"/>
    <n v="77000"/>
    <n v="22000"/>
    <x v="0"/>
    <s v="Delivered"/>
    <x v="8"/>
    <s v="Q3"/>
    <n v="2025"/>
    <n v="0.22222222222222221"/>
  </r>
  <r>
    <x v="137"/>
    <x v="14"/>
    <x v="41"/>
    <x v="69"/>
    <s v="P106"/>
    <x v="3"/>
    <x v="0"/>
    <x v="1"/>
    <x v="2"/>
    <n v="3"/>
    <n v="9500"/>
    <n v="15"/>
    <n v="24225"/>
    <n v="19950"/>
    <n v="4275"/>
    <x v="3"/>
    <s v="Delivered"/>
    <x v="7"/>
    <s v="Q1"/>
    <n v="2025"/>
    <n v="0.17647058823529413"/>
  </r>
  <r>
    <x v="138"/>
    <x v="112"/>
    <x v="21"/>
    <x v="70"/>
    <s v="P108"/>
    <x v="4"/>
    <x v="1"/>
    <x v="3"/>
    <x v="2"/>
    <n v="2"/>
    <n v="3200"/>
    <n v="0"/>
    <n v="6400"/>
    <n v="4480"/>
    <n v="1920"/>
    <x v="0"/>
    <s v="Delivered"/>
    <x v="11"/>
    <s v="Q3"/>
    <n v="2025"/>
    <n v="0.3"/>
  </r>
  <r>
    <x v="139"/>
    <x v="71"/>
    <x v="61"/>
    <x v="71"/>
    <s v="P108"/>
    <x v="4"/>
    <x v="1"/>
    <x v="1"/>
    <x v="2"/>
    <n v="10"/>
    <n v="3200"/>
    <n v="15"/>
    <n v="27200"/>
    <n v="22400"/>
    <n v="4800"/>
    <x v="3"/>
    <s v="Returned"/>
    <x v="8"/>
    <s v="Q3"/>
    <n v="2025"/>
    <n v="0.17647058823529413"/>
  </r>
  <r>
    <x v="140"/>
    <x v="113"/>
    <x v="27"/>
    <x v="72"/>
    <s v="P102"/>
    <x v="1"/>
    <x v="0"/>
    <x v="0"/>
    <x v="3"/>
    <n v="4"/>
    <n v="800"/>
    <n v="15"/>
    <n v="2720"/>
    <n v="2240"/>
    <n v="480"/>
    <x v="0"/>
    <s v="Pending"/>
    <x v="11"/>
    <s v="Q3"/>
    <n v="2025"/>
    <n v="0.17647058823529413"/>
  </r>
  <r>
    <x v="141"/>
    <x v="114"/>
    <x v="75"/>
    <x v="36"/>
    <s v="P108"/>
    <x v="4"/>
    <x v="1"/>
    <x v="3"/>
    <x v="1"/>
    <n v="5"/>
    <n v="3200"/>
    <n v="5"/>
    <n v="15200"/>
    <n v="11200"/>
    <n v="4000"/>
    <x v="0"/>
    <s v="Pending"/>
    <x v="1"/>
    <s v="Q4"/>
    <n v="2025"/>
    <n v="0.26315789473684209"/>
  </r>
  <r>
    <x v="142"/>
    <x v="115"/>
    <x v="76"/>
    <x v="45"/>
    <s v="P104"/>
    <x v="7"/>
    <x v="2"/>
    <x v="1"/>
    <x v="4"/>
    <n v="8"/>
    <n v="4500"/>
    <n v="15"/>
    <n v="30600"/>
    <n v="25200"/>
    <n v="5400"/>
    <x v="3"/>
    <s v="Returned"/>
    <x v="8"/>
    <s v="Q3"/>
    <n v="2025"/>
    <n v="0.17647058823529413"/>
  </r>
  <r>
    <x v="143"/>
    <x v="116"/>
    <x v="11"/>
    <x v="62"/>
    <s v="P106"/>
    <x v="3"/>
    <x v="0"/>
    <x v="3"/>
    <x v="2"/>
    <n v="2"/>
    <n v="9500"/>
    <n v="10"/>
    <n v="17100"/>
    <n v="13300"/>
    <n v="3800"/>
    <x v="3"/>
    <s v="Returned"/>
    <x v="10"/>
    <s v="Q2"/>
    <n v="2025"/>
    <n v="0.22222222222222221"/>
  </r>
  <r>
    <x v="144"/>
    <x v="117"/>
    <x v="77"/>
    <x v="69"/>
    <s v="P104"/>
    <x v="7"/>
    <x v="2"/>
    <x v="3"/>
    <x v="0"/>
    <n v="3"/>
    <n v="4500"/>
    <n v="5"/>
    <n v="12825"/>
    <n v="9450"/>
    <n v="3375"/>
    <x v="1"/>
    <s v="Pending"/>
    <x v="1"/>
    <s v="Q4"/>
    <n v="2025"/>
    <n v="0.26315789473684209"/>
  </r>
  <r>
    <x v="145"/>
    <x v="118"/>
    <x v="52"/>
    <x v="73"/>
    <s v="P107"/>
    <x v="0"/>
    <x v="0"/>
    <x v="2"/>
    <x v="4"/>
    <n v="2"/>
    <n v="3500"/>
    <n v="15"/>
    <n v="5950"/>
    <n v="4900"/>
    <n v="1050"/>
    <x v="0"/>
    <s v="Pending"/>
    <x v="5"/>
    <s v="Q3"/>
    <n v="2025"/>
    <n v="0.17647058823529413"/>
  </r>
  <r>
    <x v="146"/>
    <x v="119"/>
    <x v="51"/>
    <x v="74"/>
    <s v="P108"/>
    <x v="4"/>
    <x v="1"/>
    <x v="2"/>
    <x v="1"/>
    <n v="2"/>
    <n v="3200"/>
    <n v="20"/>
    <n v="5120"/>
    <n v="4480"/>
    <n v="640"/>
    <x v="1"/>
    <s v="Pending"/>
    <x v="5"/>
    <s v="Q3"/>
    <n v="2025"/>
    <n v="0.125"/>
  </r>
  <r>
    <x v="147"/>
    <x v="120"/>
    <x v="32"/>
    <x v="73"/>
    <s v="P103"/>
    <x v="6"/>
    <x v="0"/>
    <x v="2"/>
    <x v="4"/>
    <n v="3"/>
    <n v="1500"/>
    <n v="0"/>
    <n v="4500"/>
    <n v="3150"/>
    <n v="1350"/>
    <x v="2"/>
    <s v="Returned"/>
    <x v="10"/>
    <s v="Q2"/>
    <n v="2025"/>
    <n v="0.3"/>
  </r>
  <r>
    <x v="148"/>
    <x v="121"/>
    <x v="55"/>
    <x v="75"/>
    <s v="P108"/>
    <x v="4"/>
    <x v="1"/>
    <x v="2"/>
    <x v="4"/>
    <n v="5"/>
    <n v="3200"/>
    <n v="15"/>
    <n v="13600"/>
    <n v="11200"/>
    <n v="2400"/>
    <x v="1"/>
    <s v="Pending"/>
    <x v="9"/>
    <s v="Q1"/>
    <n v="2025"/>
    <n v="0.17647058823529413"/>
  </r>
  <r>
    <x v="149"/>
    <x v="66"/>
    <x v="42"/>
    <x v="7"/>
    <s v="P103"/>
    <x v="6"/>
    <x v="0"/>
    <x v="2"/>
    <x v="3"/>
    <n v="8"/>
    <n v="1500"/>
    <n v="5"/>
    <n v="11400"/>
    <n v="8400"/>
    <n v="3000"/>
    <x v="0"/>
    <s v="Returned"/>
    <x v="9"/>
    <s v="Q1"/>
    <n v="2025"/>
    <n v="0.26315789473684209"/>
  </r>
  <r>
    <x v="150"/>
    <x v="26"/>
    <x v="28"/>
    <x v="76"/>
    <s v="P102"/>
    <x v="1"/>
    <x v="0"/>
    <x v="0"/>
    <x v="2"/>
    <n v="4"/>
    <n v="800"/>
    <n v="15"/>
    <n v="2720"/>
    <n v="2240"/>
    <n v="480"/>
    <x v="2"/>
    <s v="Returned"/>
    <x v="1"/>
    <s v="Q4"/>
    <n v="2025"/>
    <n v="0.17647058823529413"/>
  </r>
  <r>
    <x v="151"/>
    <x v="122"/>
    <x v="78"/>
    <x v="29"/>
    <s v="P103"/>
    <x v="6"/>
    <x v="0"/>
    <x v="3"/>
    <x v="5"/>
    <n v="6"/>
    <n v="1500"/>
    <n v="15"/>
    <n v="7650"/>
    <n v="6300"/>
    <n v="1350"/>
    <x v="2"/>
    <s v="Delivered"/>
    <x v="9"/>
    <s v="Q1"/>
    <n v="2025"/>
    <n v="0.17647058823529413"/>
  </r>
  <r>
    <x v="152"/>
    <x v="27"/>
    <x v="23"/>
    <x v="35"/>
    <s v="P103"/>
    <x v="6"/>
    <x v="0"/>
    <x v="2"/>
    <x v="5"/>
    <n v="4"/>
    <n v="1500"/>
    <n v="5"/>
    <n v="5700"/>
    <n v="4200"/>
    <n v="1500"/>
    <x v="1"/>
    <s v="Returned"/>
    <x v="10"/>
    <s v="Q2"/>
    <n v="2025"/>
    <n v="0.26315789473684209"/>
  </r>
  <r>
    <x v="153"/>
    <x v="57"/>
    <x v="14"/>
    <x v="2"/>
    <s v="P101"/>
    <x v="2"/>
    <x v="0"/>
    <x v="3"/>
    <x v="0"/>
    <n v="8"/>
    <n v="55000"/>
    <n v="20"/>
    <n v="352000"/>
    <n v="308000"/>
    <n v="44000"/>
    <x v="1"/>
    <s v="Pending"/>
    <x v="11"/>
    <s v="Q3"/>
    <n v="2025"/>
    <n v="0.125"/>
  </r>
  <r>
    <x v="154"/>
    <x v="123"/>
    <x v="12"/>
    <x v="15"/>
    <s v="P101"/>
    <x v="2"/>
    <x v="0"/>
    <x v="2"/>
    <x v="4"/>
    <n v="10"/>
    <n v="55000"/>
    <n v="20"/>
    <n v="440000"/>
    <n v="385000"/>
    <n v="55000"/>
    <x v="2"/>
    <s v="Returned"/>
    <x v="2"/>
    <s v="Q2"/>
    <n v="2025"/>
    <n v="0.125"/>
  </r>
  <r>
    <x v="155"/>
    <x v="6"/>
    <x v="79"/>
    <x v="60"/>
    <s v="P105"/>
    <x v="5"/>
    <x v="2"/>
    <x v="0"/>
    <x v="1"/>
    <n v="8"/>
    <n v="8500"/>
    <n v="5"/>
    <n v="64600"/>
    <n v="47600"/>
    <n v="17000"/>
    <x v="0"/>
    <s v="Pending"/>
    <x v="2"/>
    <s v="Q2"/>
    <n v="2025"/>
    <n v="0.26315789473684209"/>
  </r>
  <r>
    <x v="156"/>
    <x v="58"/>
    <x v="80"/>
    <x v="20"/>
    <s v="P101"/>
    <x v="2"/>
    <x v="0"/>
    <x v="2"/>
    <x v="4"/>
    <n v="3"/>
    <n v="55000"/>
    <n v="0"/>
    <n v="165000"/>
    <n v="115500"/>
    <n v="49500.000000000007"/>
    <x v="2"/>
    <s v="Delivered"/>
    <x v="0"/>
    <s v="Q4"/>
    <n v="2025"/>
    <n v="0.30000000000000004"/>
  </r>
  <r>
    <x v="157"/>
    <x v="124"/>
    <x v="23"/>
    <x v="37"/>
    <s v="P101"/>
    <x v="2"/>
    <x v="0"/>
    <x v="3"/>
    <x v="0"/>
    <n v="7"/>
    <n v="55000"/>
    <n v="15"/>
    <n v="327250"/>
    <n v="269500"/>
    <n v="57750"/>
    <x v="0"/>
    <s v="Delivered"/>
    <x v="5"/>
    <s v="Q3"/>
    <n v="2025"/>
    <n v="0.17647058823529413"/>
  </r>
  <r>
    <x v="158"/>
    <x v="76"/>
    <x v="81"/>
    <x v="10"/>
    <s v="P103"/>
    <x v="6"/>
    <x v="0"/>
    <x v="1"/>
    <x v="4"/>
    <n v="6"/>
    <n v="1500"/>
    <n v="20"/>
    <n v="7200"/>
    <n v="6300"/>
    <n v="900"/>
    <x v="2"/>
    <s v="Returned"/>
    <x v="2"/>
    <s v="Q2"/>
    <n v="2025"/>
    <n v="0.125"/>
  </r>
  <r>
    <x v="159"/>
    <x v="125"/>
    <x v="45"/>
    <x v="33"/>
    <s v="P101"/>
    <x v="2"/>
    <x v="0"/>
    <x v="0"/>
    <x v="5"/>
    <n v="5"/>
    <n v="55000"/>
    <n v="15"/>
    <n v="233750"/>
    <n v="192500"/>
    <n v="41250"/>
    <x v="0"/>
    <s v="Returned"/>
    <x v="5"/>
    <s v="Q3"/>
    <n v="2025"/>
    <n v="0.17647058823529413"/>
  </r>
  <r>
    <x v="160"/>
    <x v="126"/>
    <x v="7"/>
    <x v="60"/>
    <s v="P102"/>
    <x v="1"/>
    <x v="0"/>
    <x v="3"/>
    <x v="5"/>
    <n v="8"/>
    <n v="800"/>
    <n v="10"/>
    <n v="5760"/>
    <n v="4480"/>
    <n v="1280"/>
    <x v="3"/>
    <s v="Returned"/>
    <x v="0"/>
    <s v="Q4"/>
    <n v="2025"/>
    <n v="0.22222222222222221"/>
  </r>
  <r>
    <x v="161"/>
    <x v="84"/>
    <x v="55"/>
    <x v="72"/>
    <s v="P101"/>
    <x v="2"/>
    <x v="0"/>
    <x v="3"/>
    <x v="2"/>
    <n v="2"/>
    <n v="55000"/>
    <n v="20"/>
    <n v="88000"/>
    <n v="77000"/>
    <n v="11000"/>
    <x v="1"/>
    <s v="Pending"/>
    <x v="11"/>
    <s v="Q3"/>
    <n v="2025"/>
    <n v="0.125"/>
  </r>
  <r>
    <x v="162"/>
    <x v="127"/>
    <x v="22"/>
    <x v="33"/>
    <s v="P101"/>
    <x v="2"/>
    <x v="0"/>
    <x v="2"/>
    <x v="3"/>
    <n v="8"/>
    <n v="55000"/>
    <n v="20"/>
    <n v="352000"/>
    <n v="308000"/>
    <n v="44000"/>
    <x v="2"/>
    <s v="Delivered"/>
    <x v="11"/>
    <s v="Q3"/>
    <n v="2025"/>
    <n v="0.125"/>
  </r>
  <r>
    <x v="163"/>
    <x v="128"/>
    <x v="82"/>
    <x v="77"/>
    <s v="P104"/>
    <x v="7"/>
    <x v="2"/>
    <x v="2"/>
    <x v="3"/>
    <n v="5"/>
    <n v="4500"/>
    <n v="10"/>
    <n v="20250"/>
    <n v="15750"/>
    <n v="4500.0000000000018"/>
    <x v="0"/>
    <s v="Delivered"/>
    <x v="4"/>
    <s v="Q4"/>
    <n v="2025"/>
    <n v="0.22222222222222232"/>
  </r>
  <r>
    <x v="164"/>
    <x v="129"/>
    <x v="12"/>
    <x v="75"/>
    <s v="P107"/>
    <x v="0"/>
    <x v="0"/>
    <x v="0"/>
    <x v="3"/>
    <n v="7"/>
    <n v="3500"/>
    <n v="0"/>
    <n v="24500"/>
    <n v="17150"/>
    <n v="7350"/>
    <x v="0"/>
    <s v="Delivered"/>
    <x v="7"/>
    <s v="Q1"/>
    <n v="2025"/>
    <n v="0.3"/>
  </r>
  <r>
    <x v="165"/>
    <x v="130"/>
    <x v="19"/>
    <x v="7"/>
    <s v="P104"/>
    <x v="7"/>
    <x v="2"/>
    <x v="1"/>
    <x v="3"/>
    <n v="9"/>
    <n v="4500"/>
    <n v="15"/>
    <n v="34425"/>
    <n v="28350"/>
    <n v="6075"/>
    <x v="3"/>
    <s v="Returned"/>
    <x v="3"/>
    <s v="Q1"/>
    <n v="2025"/>
    <n v="0.17647058823529413"/>
  </r>
  <r>
    <x v="166"/>
    <x v="131"/>
    <x v="83"/>
    <x v="34"/>
    <s v="P104"/>
    <x v="7"/>
    <x v="2"/>
    <x v="2"/>
    <x v="1"/>
    <n v="10"/>
    <n v="4500"/>
    <n v="0"/>
    <n v="45000"/>
    <n v="31500"/>
    <n v="13500"/>
    <x v="1"/>
    <s v="Returned"/>
    <x v="9"/>
    <s v="Q1"/>
    <n v="2025"/>
    <n v="0.3"/>
  </r>
  <r>
    <x v="167"/>
    <x v="5"/>
    <x v="35"/>
    <x v="15"/>
    <s v="P101"/>
    <x v="2"/>
    <x v="0"/>
    <x v="0"/>
    <x v="5"/>
    <n v="10"/>
    <n v="55000"/>
    <n v="15"/>
    <n v="467500"/>
    <n v="385000"/>
    <n v="82500"/>
    <x v="3"/>
    <s v="Returned"/>
    <x v="4"/>
    <s v="Q4"/>
    <n v="2025"/>
    <n v="0.17647058823529413"/>
  </r>
  <r>
    <x v="168"/>
    <x v="132"/>
    <x v="70"/>
    <x v="5"/>
    <s v="P103"/>
    <x v="6"/>
    <x v="0"/>
    <x v="3"/>
    <x v="3"/>
    <n v="9"/>
    <n v="1500"/>
    <n v="15"/>
    <n v="11475"/>
    <n v="9450"/>
    <n v="2025"/>
    <x v="3"/>
    <s v="Pending"/>
    <x v="3"/>
    <s v="Q1"/>
    <n v="2025"/>
    <n v="0.17647058823529413"/>
  </r>
  <r>
    <x v="169"/>
    <x v="133"/>
    <x v="4"/>
    <x v="76"/>
    <s v="P104"/>
    <x v="7"/>
    <x v="2"/>
    <x v="1"/>
    <x v="2"/>
    <n v="9"/>
    <n v="4500"/>
    <n v="10"/>
    <n v="36450"/>
    <n v="28350"/>
    <n v="8100"/>
    <x v="1"/>
    <s v="Returned"/>
    <x v="6"/>
    <s v="Q2"/>
    <n v="2025"/>
    <n v="0.22222222222222221"/>
  </r>
  <r>
    <x v="170"/>
    <x v="15"/>
    <x v="68"/>
    <x v="71"/>
    <s v="P105"/>
    <x v="5"/>
    <x v="2"/>
    <x v="1"/>
    <x v="4"/>
    <n v="2"/>
    <n v="8500"/>
    <n v="20"/>
    <n v="13600"/>
    <n v="11900"/>
    <n v="1700"/>
    <x v="2"/>
    <s v="Pending"/>
    <x v="8"/>
    <s v="Q3"/>
    <n v="2025"/>
    <n v="0.125"/>
  </r>
  <r>
    <x v="171"/>
    <x v="33"/>
    <x v="26"/>
    <x v="75"/>
    <s v="P107"/>
    <x v="0"/>
    <x v="0"/>
    <x v="2"/>
    <x v="0"/>
    <n v="8"/>
    <n v="3500"/>
    <n v="10"/>
    <n v="25200"/>
    <n v="19600"/>
    <n v="5600"/>
    <x v="1"/>
    <s v="Delivered"/>
    <x v="10"/>
    <s v="Q2"/>
    <n v="2025"/>
    <n v="0.22222222222222221"/>
  </r>
  <r>
    <x v="172"/>
    <x v="81"/>
    <x v="53"/>
    <x v="46"/>
    <s v="P105"/>
    <x v="5"/>
    <x v="2"/>
    <x v="2"/>
    <x v="4"/>
    <n v="4"/>
    <n v="8500"/>
    <n v="15"/>
    <n v="28900"/>
    <n v="23800"/>
    <n v="5100"/>
    <x v="0"/>
    <s v="Pending"/>
    <x v="8"/>
    <s v="Q3"/>
    <n v="2025"/>
    <n v="0.17647058823529413"/>
  </r>
  <r>
    <x v="173"/>
    <x v="42"/>
    <x v="45"/>
    <x v="78"/>
    <s v="P101"/>
    <x v="2"/>
    <x v="0"/>
    <x v="3"/>
    <x v="5"/>
    <n v="2"/>
    <n v="55000"/>
    <n v="0"/>
    <n v="110000"/>
    <n v="77000"/>
    <n v="33000"/>
    <x v="0"/>
    <s v="Pending"/>
    <x v="4"/>
    <s v="Q4"/>
    <n v="2025"/>
    <n v="0.3"/>
  </r>
  <r>
    <x v="174"/>
    <x v="134"/>
    <x v="58"/>
    <x v="79"/>
    <s v="P106"/>
    <x v="3"/>
    <x v="0"/>
    <x v="3"/>
    <x v="2"/>
    <n v="6"/>
    <n v="9500"/>
    <n v="15"/>
    <n v="48450"/>
    <n v="39900"/>
    <n v="8550"/>
    <x v="1"/>
    <s v="Returned"/>
    <x v="1"/>
    <s v="Q4"/>
    <n v="2025"/>
    <n v="0.17647058823529413"/>
  </r>
  <r>
    <x v="175"/>
    <x v="135"/>
    <x v="49"/>
    <x v="38"/>
    <s v="P101"/>
    <x v="2"/>
    <x v="0"/>
    <x v="3"/>
    <x v="2"/>
    <n v="4"/>
    <n v="55000"/>
    <n v="0"/>
    <n v="220000"/>
    <n v="154000"/>
    <n v="66000"/>
    <x v="0"/>
    <s v="Pending"/>
    <x v="7"/>
    <s v="Q1"/>
    <n v="2025"/>
    <n v="0.3"/>
  </r>
  <r>
    <x v="176"/>
    <x v="11"/>
    <x v="13"/>
    <x v="80"/>
    <s v="P105"/>
    <x v="5"/>
    <x v="2"/>
    <x v="1"/>
    <x v="0"/>
    <n v="2"/>
    <n v="8500"/>
    <n v="10"/>
    <n v="15300"/>
    <n v="11900"/>
    <n v="3400"/>
    <x v="1"/>
    <s v="Returned"/>
    <x v="3"/>
    <s v="Q1"/>
    <n v="2025"/>
    <n v="0.22222222222222221"/>
  </r>
  <r>
    <x v="177"/>
    <x v="136"/>
    <x v="68"/>
    <x v="6"/>
    <s v="P106"/>
    <x v="3"/>
    <x v="0"/>
    <x v="1"/>
    <x v="3"/>
    <n v="4"/>
    <n v="9500"/>
    <n v="10"/>
    <n v="34200"/>
    <n v="26600"/>
    <n v="7600"/>
    <x v="1"/>
    <s v="Pending"/>
    <x v="2"/>
    <s v="Q2"/>
    <n v="2025"/>
    <n v="0.22222222222222221"/>
  </r>
  <r>
    <x v="178"/>
    <x v="126"/>
    <x v="78"/>
    <x v="79"/>
    <s v="P101"/>
    <x v="2"/>
    <x v="0"/>
    <x v="2"/>
    <x v="4"/>
    <n v="10"/>
    <n v="55000"/>
    <n v="5"/>
    <n v="522500"/>
    <n v="385000"/>
    <n v="137500"/>
    <x v="1"/>
    <s v="Returned"/>
    <x v="0"/>
    <s v="Q4"/>
    <n v="2025"/>
    <n v="0.26315789473684209"/>
  </r>
  <r>
    <x v="179"/>
    <x v="137"/>
    <x v="78"/>
    <x v="53"/>
    <s v="P102"/>
    <x v="1"/>
    <x v="0"/>
    <x v="2"/>
    <x v="5"/>
    <n v="10"/>
    <n v="800"/>
    <n v="0"/>
    <n v="8000"/>
    <n v="5600"/>
    <n v="2400"/>
    <x v="0"/>
    <s v="Returned"/>
    <x v="5"/>
    <s v="Q3"/>
    <n v="2025"/>
    <n v="0.3"/>
  </r>
  <r>
    <x v="180"/>
    <x v="131"/>
    <x v="58"/>
    <x v="56"/>
    <s v="P107"/>
    <x v="0"/>
    <x v="0"/>
    <x v="0"/>
    <x v="0"/>
    <n v="2"/>
    <n v="3500"/>
    <n v="20"/>
    <n v="5600"/>
    <n v="4900"/>
    <n v="700"/>
    <x v="1"/>
    <s v="Pending"/>
    <x v="9"/>
    <s v="Q1"/>
    <n v="2025"/>
    <n v="0.125"/>
  </r>
  <r>
    <x v="181"/>
    <x v="32"/>
    <x v="70"/>
    <x v="28"/>
    <s v="P102"/>
    <x v="1"/>
    <x v="0"/>
    <x v="3"/>
    <x v="3"/>
    <n v="6"/>
    <n v="800"/>
    <n v="10"/>
    <n v="4320"/>
    <n v="3360"/>
    <n v="960"/>
    <x v="3"/>
    <s v="Returned"/>
    <x v="10"/>
    <s v="Q2"/>
    <n v="2025"/>
    <n v="0.22222222222222221"/>
  </r>
  <r>
    <x v="182"/>
    <x v="138"/>
    <x v="79"/>
    <x v="68"/>
    <s v="P101"/>
    <x v="2"/>
    <x v="0"/>
    <x v="1"/>
    <x v="5"/>
    <n v="9"/>
    <n v="55000"/>
    <n v="20"/>
    <n v="396000"/>
    <n v="346500"/>
    <n v="49500"/>
    <x v="1"/>
    <s v="Pending"/>
    <x v="6"/>
    <s v="Q2"/>
    <n v="2025"/>
    <n v="0.125"/>
  </r>
  <r>
    <x v="183"/>
    <x v="62"/>
    <x v="1"/>
    <x v="57"/>
    <s v="P107"/>
    <x v="0"/>
    <x v="0"/>
    <x v="3"/>
    <x v="3"/>
    <n v="8"/>
    <n v="3500"/>
    <n v="20"/>
    <n v="22400"/>
    <n v="19600"/>
    <n v="2800"/>
    <x v="0"/>
    <s v="Returned"/>
    <x v="1"/>
    <s v="Q4"/>
    <n v="2025"/>
    <n v="0.125"/>
  </r>
  <r>
    <x v="184"/>
    <x v="139"/>
    <x v="8"/>
    <x v="80"/>
    <s v="P101"/>
    <x v="2"/>
    <x v="0"/>
    <x v="0"/>
    <x v="1"/>
    <n v="1"/>
    <n v="55000"/>
    <n v="20"/>
    <n v="44000"/>
    <n v="38500"/>
    <n v="5500"/>
    <x v="0"/>
    <s v="Returned"/>
    <x v="3"/>
    <s v="Q1"/>
    <n v="2025"/>
    <n v="0.125"/>
  </r>
  <r>
    <x v="185"/>
    <x v="140"/>
    <x v="29"/>
    <x v="8"/>
    <s v="P102"/>
    <x v="1"/>
    <x v="0"/>
    <x v="1"/>
    <x v="0"/>
    <n v="10"/>
    <n v="800"/>
    <n v="0"/>
    <n v="8000"/>
    <n v="5600"/>
    <n v="2400"/>
    <x v="1"/>
    <s v="Delivered"/>
    <x v="1"/>
    <s v="Q4"/>
    <n v="2025"/>
    <n v="0.3"/>
  </r>
  <r>
    <x v="186"/>
    <x v="99"/>
    <x v="29"/>
    <x v="64"/>
    <s v="P103"/>
    <x v="6"/>
    <x v="0"/>
    <x v="0"/>
    <x v="1"/>
    <n v="6"/>
    <n v="1500"/>
    <n v="5"/>
    <n v="8550"/>
    <n v="6300"/>
    <n v="2250"/>
    <x v="3"/>
    <s v="Delivered"/>
    <x v="2"/>
    <s v="Q2"/>
    <n v="2025"/>
    <n v="0.26315789473684209"/>
  </r>
  <r>
    <x v="187"/>
    <x v="141"/>
    <x v="81"/>
    <x v="47"/>
    <s v="P101"/>
    <x v="2"/>
    <x v="0"/>
    <x v="1"/>
    <x v="4"/>
    <n v="10"/>
    <n v="55000"/>
    <n v="10"/>
    <n v="495000"/>
    <n v="385000"/>
    <n v="110000"/>
    <x v="1"/>
    <s v="Delivered"/>
    <x v="2"/>
    <s v="Q2"/>
    <n v="2025"/>
    <n v="0.22222222222222221"/>
  </r>
  <r>
    <x v="188"/>
    <x v="142"/>
    <x v="56"/>
    <x v="29"/>
    <s v="P102"/>
    <x v="1"/>
    <x v="0"/>
    <x v="3"/>
    <x v="1"/>
    <n v="9"/>
    <n v="800"/>
    <n v="15"/>
    <n v="6120"/>
    <n v="5040"/>
    <n v="1080"/>
    <x v="0"/>
    <s v="Pending"/>
    <x v="0"/>
    <s v="Q4"/>
    <n v="2025"/>
    <n v="0.17647058823529413"/>
  </r>
  <r>
    <x v="189"/>
    <x v="143"/>
    <x v="20"/>
    <x v="81"/>
    <s v="P107"/>
    <x v="0"/>
    <x v="0"/>
    <x v="3"/>
    <x v="4"/>
    <n v="8"/>
    <n v="3500"/>
    <n v="0"/>
    <n v="28000"/>
    <n v="19600"/>
    <n v="8400"/>
    <x v="3"/>
    <s v="Pending"/>
    <x v="3"/>
    <s v="Q1"/>
    <n v="2025"/>
    <n v="0.3"/>
  </r>
  <r>
    <x v="190"/>
    <x v="122"/>
    <x v="41"/>
    <x v="4"/>
    <s v="P108"/>
    <x v="4"/>
    <x v="1"/>
    <x v="1"/>
    <x v="3"/>
    <n v="3"/>
    <n v="3200"/>
    <n v="20"/>
    <n v="7680"/>
    <n v="6720"/>
    <n v="960"/>
    <x v="2"/>
    <s v="Pending"/>
    <x v="9"/>
    <s v="Q1"/>
    <n v="2025"/>
    <n v="0.125"/>
  </r>
  <r>
    <x v="191"/>
    <x v="144"/>
    <x v="26"/>
    <x v="64"/>
    <s v="P102"/>
    <x v="1"/>
    <x v="0"/>
    <x v="1"/>
    <x v="0"/>
    <n v="10"/>
    <n v="800"/>
    <n v="10"/>
    <n v="7200"/>
    <n v="5600"/>
    <n v="1600"/>
    <x v="3"/>
    <s v="Pending"/>
    <x v="7"/>
    <s v="Q1"/>
    <n v="2025"/>
    <n v="0.22222222222222221"/>
  </r>
  <r>
    <x v="192"/>
    <x v="35"/>
    <x v="15"/>
    <x v="66"/>
    <s v="P103"/>
    <x v="6"/>
    <x v="0"/>
    <x v="0"/>
    <x v="3"/>
    <n v="6"/>
    <n v="1500"/>
    <n v="15"/>
    <n v="7650"/>
    <n v="6300"/>
    <n v="1350"/>
    <x v="0"/>
    <s v="Returned"/>
    <x v="0"/>
    <s v="Q4"/>
    <n v="2025"/>
    <n v="0.17647058823529413"/>
  </r>
  <r>
    <x v="193"/>
    <x v="145"/>
    <x v="37"/>
    <x v="9"/>
    <s v="P107"/>
    <x v="0"/>
    <x v="0"/>
    <x v="0"/>
    <x v="3"/>
    <n v="4"/>
    <n v="3500"/>
    <n v="10"/>
    <n v="12600"/>
    <n v="9800"/>
    <n v="2800"/>
    <x v="2"/>
    <s v="Delivered"/>
    <x v="11"/>
    <s v="Q3"/>
    <n v="2025"/>
    <n v="0.22222222222222221"/>
  </r>
  <r>
    <x v="194"/>
    <x v="146"/>
    <x v="24"/>
    <x v="34"/>
    <s v="P108"/>
    <x v="4"/>
    <x v="1"/>
    <x v="2"/>
    <x v="1"/>
    <n v="2"/>
    <n v="3200"/>
    <n v="0"/>
    <n v="6400"/>
    <n v="4480"/>
    <n v="1920"/>
    <x v="0"/>
    <s v="Pending"/>
    <x v="5"/>
    <s v="Q3"/>
    <n v="2025"/>
    <n v="0.3"/>
  </r>
  <r>
    <x v="195"/>
    <x v="98"/>
    <x v="20"/>
    <x v="54"/>
    <s v="P102"/>
    <x v="1"/>
    <x v="0"/>
    <x v="0"/>
    <x v="0"/>
    <n v="5"/>
    <n v="800"/>
    <n v="20"/>
    <n v="3200"/>
    <n v="2800"/>
    <n v="400"/>
    <x v="0"/>
    <s v="Delivered"/>
    <x v="10"/>
    <s v="Q2"/>
    <n v="2025"/>
    <n v="0.125"/>
  </r>
  <r>
    <x v="196"/>
    <x v="147"/>
    <x v="10"/>
    <x v="11"/>
    <s v="P107"/>
    <x v="0"/>
    <x v="0"/>
    <x v="1"/>
    <x v="3"/>
    <n v="3"/>
    <n v="3500"/>
    <n v="15"/>
    <n v="8925"/>
    <n v="7349.9999999999991"/>
    <n v="1575.0000000000009"/>
    <x v="1"/>
    <s v="Delivered"/>
    <x v="6"/>
    <s v="Q2"/>
    <n v="2025"/>
    <n v="0.17647058823529421"/>
  </r>
  <r>
    <x v="197"/>
    <x v="117"/>
    <x v="42"/>
    <x v="43"/>
    <s v="P104"/>
    <x v="7"/>
    <x v="2"/>
    <x v="1"/>
    <x v="4"/>
    <n v="1"/>
    <n v="4500"/>
    <n v="5"/>
    <n v="4275"/>
    <n v="3150"/>
    <n v="1125"/>
    <x v="1"/>
    <s v="Returned"/>
    <x v="1"/>
    <s v="Q4"/>
    <n v="2025"/>
    <n v="0.26315789473684209"/>
  </r>
  <r>
    <x v="198"/>
    <x v="87"/>
    <x v="84"/>
    <x v="39"/>
    <s v="P108"/>
    <x v="4"/>
    <x v="1"/>
    <x v="0"/>
    <x v="3"/>
    <n v="1"/>
    <n v="3200"/>
    <n v="20"/>
    <n v="2560"/>
    <n v="2240"/>
    <n v="320"/>
    <x v="3"/>
    <s v="Delivered"/>
    <x v="5"/>
    <s v="Q3"/>
    <n v="2025"/>
    <n v="0.125"/>
  </r>
  <r>
    <x v="199"/>
    <x v="129"/>
    <x v="35"/>
    <x v="82"/>
    <s v="P103"/>
    <x v="6"/>
    <x v="0"/>
    <x v="3"/>
    <x v="4"/>
    <n v="2"/>
    <n v="1500"/>
    <n v="5"/>
    <n v="2850"/>
    <n v="2100"/>
    <n v="750"/>
    <x v="0"/>
    <s v="Delivered"/>
    <x v="7"/>
    <s v="Q1"/>
    <n v="2025"/>
    <n v="0.26315789473684209"/>
  </r>
  <r>
    <x v="200"/>
    <x v="148"/>
    <x v="27"/>
    <x v="83"/>
    <s v="P103"/>
    <x v="6"/>
    <x v="0"/>
    <x v="1"/>
    <x v="1"/>
    <n v="10"/>
    <n v="1500"/>
    <n v="5"/>
    <n v="14250"/>
    <n v="10500"/>
    <n v="3750"/>
    <x v="2"/>
    <s v="Pending"/>
    <x v="4"/>
    <s v="Q4"/>
    <n v="2025"/>
    <n v="0.26315789473684209"/>
  </r>
  <r>
    <x v="201"/>
    <x v="149"/>
    <x v="65"/>
    <x v="67"/>
    <s v="P103"/>
    <x v="6"/>
    <x v="0"/>
    <x v="1"/>
    <x v="0"/>
    <n v="9"/>
    <n v="1500"/>
    <n v="0"/>
    <n v="13500"/>
    <n v="9450"/>
    <n v="4050"/>
    <x v="1"/>
    <s v="Pending"/>
    <x v="2"/>
    <s v="Q2"/>
    <n v="2025"/>
    <n v="0.3"/>
  </r>
  <r>
    <x v="202"/>
    <x v="107"/>
    <x v="66"/>
    <x v="55"/>
    <s v="P101"/>
    <x v="2"/>
    <x v="0"/>
    <x v="0"/>
    <x v="3"/>
    <n v="6"/>
    <n v="55000"/>
    <n v="0"/>
    <n v="330000"/>
    <n v="231000"/>
    <n v="99000.000000000029"/>
    <x v="2"/>
    <s v="Returned"/>
    <x v="8"/>
    <s v="Q3"/>
    <n v="2025"/>
    <n v="0.3000000000000001"/>
  </r>
  <r>
    <x v="203"/>
    <x v="150"/>
    <x v="11"/>
    <x v="38"/>
    <s v="P108"/>
    <x v="4"/>
    <x v="1"/>
    <x v="3"/>
    <x v="5"/>
    <n v="5"/>
    <n v="3200"/>
    <n v="20"/>
    <n v="12800"/>
    <n v="11200"/>
    <n v="1600"/>
    <x v="3"/>
    <s v="Returned"/>
    <x v="1"/>
    <s v="Q4"/>
    <n v="2025"/>
    <n v="0.125"/>
  </r>
  <r>
    <x v="204"/>
    <x v="151"/>
    <x v="28"/>
    <x v="36"/>
    <s v="P105"/>
    <x v="5"/>
    <x v="2"/>
    <x v="2"/>
    <x v="5"/>
    <n v="5"/>
    <n v="8500"/>
    <n v="15"/>
    <n v="36125"/>
    <n v="29750"/>
    <n v="6375.0000000000036"/>
    <x v="2"/>
    <s v="Returned"/>
    <x v="8"/>
    <s v="Q3"/>
    <n v="2025"/>
    <n v="0.17647058823529421"/>
  </r>
  <r>
    <x v="205"/>
    <x v="152"/>
    <x v="58"/>
    <x v="52"/>
    <s v="P107"/>
    <x v="0"/>
    <x v="0"/>
    <x v="1"/>
    <x v="5"/>
    <n v="6"/>
    <n v="3500"/>
    <n v="10"/>
    <n v="18900"/>
    <n v="14700"/>
    <n v="4200.0000000000018"/>
    <x v="0"/>
    <s v="Pending"/>
    <x v="11"/>
    <s v="Q3"/>
    <n v="2025"/>
    <n v="0.22222222222222232"/>
  </r>
  <r>
    <x v="206"/>
    <x v="153"/>
    <x v="12"/>
    <x v="33"/>
    <s v="P105"/>
    <x v="5"/>
    <x v="2"/>
    <x v="1"/>
    <x v="2"/>
    <n v="1"/>
    <n v="8500"/>
    <n v="10"/>
    <n v="7650"/>
    <n v="5950"/>
    <n v="1700"/>
    <x v="0"/>
    <s v="Returned"/>
    <x v="2"/>
    <s v="Q2"/>
    <n v="2025"/>
    <n v="0.22222222222222221"/>
  </r>
  <r>
    <x v="207"/>
    <x v="154"/>
    <x v="63"/>
    <x v="66"/>
    <s v="P108"/>
    <x v="4"/>
    <x v="1"/>
    <x v="1"/>
    <x v="4"/>
    <n v="9"/>
    <n v="3200"/>
    <n v="0"/>
    <n v="28800"/>
    <n v="20160"/>
    <n v="8640"/>
    <x v="0"/>
    <s v="Returned"/>
    <x v="10"/>
    <s v="Q2"/>
    <n v="2025"/>
    <n v="0.3"/>
  </r>
  <r>
    <x v="208"/>
    <x v="155"/>
    <x v="49"/>
    <x v="29"/>
    <s v="P105"/>
    <x v="5"/>
    <x v="2"/>
    <x v="1"/>
    <x v="2"/>
    <n v="2"/>
    <n v="8500"/>
    <n v="15"/>
    <n v="14450"/>
    <n v="11900"/>
    <n v="2550"/>
    <x v="2"/>
    <s v="Pending"/>
    <x v="1"/>
    <s v="Q4"/>
    <n v="2025"/>
    <n v="0.17647058823529413"/>
  </r>
  <r>
    <x v="209"/>
    <x v="148"/>
    <x v="5"/>
    <x v="48"/>
    <s v="P106"/>
    <x v="3"/>
    <x v="0"/>
    <x v="2"/>
    <x v="0"/>
    <n v="5"/>
    <n v="9500"/>
    <n v="5"/>
    <n v="45125"/>
    <n v="33250"/>
    <n v="11875"/>
    <x v="0"/>
    <s v="Pending"/>
    <x v="4"/>
    <s v="Q4"/>
    <n v="2025"/>
    <n v="0.26315789473684209"/>
  </r>
  <r>
    <x v="210"/>
    <x v="156"/>
    <x v="41"/>
    <x v="72"/>
    <s v="P103"/>
    <x v="6"/>
    <x v="0"/>
    <x v="0"/>
    <x v="3"/>
    <n v="2"/>
    <n v="1500"/>
    <n v="0"/>
    <n v="3000"/>
    <n v="2100"/>
    <n v="900"/>
    <x v="2"/>
    <s v="Pending"/>
    <x v="0"/>
    <s v="Q4"/>
    <n v="2025"/>
    <n v="0.3"/>
  </r>
  <r>
    <x v="211"/>
    <x v="157"/>
    <x v="12"/>
    <x v="31"/>
    <s v="P106"/>
    <x v="3"/>
    <x v="0"/>
    <x v="2"/>
    <x v="4"/>
    <n v="8"/>
    <n v="9500"/>
    <n v="10"/>
    <n v="68400"/>
    <n v="53200"/>
    <n v="15200"/>
    <x v="3"/>
    <s v="Pending"/>
    <x v="6"/>
    <s v="Q2"/>
    <n v="2025"/>
    <n v="0.22222222222222221"/>
  </r>
  <r>
    <x v="212"/>
    <x v="158"/>
    <x v="85"/>
    <x v="81"/>
    <s v="P108"/>
    <x v="4"/>
    <x v="1"/>
    <x v="2"/>
    <x v="4"/>
    <n v="3"/>
    <n v="3200"/>
    <n v="10"/>
    <n v="8640"/>
    <n v="6720"/>
    <n v="1920"/>
    <x v="0"/>
    <s v="Returned"/>
    <x v="6"/>
    <s v="Q2"/>
    <n v="2025"/>
    <n v="0.22222222222222221"/>
  </r>
  <r>
    <x v="213"/>
    <x v="159"/>
    <x v="13"/>
    <x v="32"/>
    <s v="P108"/>
    <x v="4"/>
    <x v="1"/>
    <x v="3"/>
    <x v="0"/>
    <n v="8"/>
    <n v="3200"/>
    <n v="10"/>
    <n v="23040"/>
    <n v="17920"/>
    <n v="5120"/>
    <x v="2"/>
    <s v="Returned"/>
    <x v="1"/>
    <s v="Q4"/>
    <n v="2025"/>
    <n v="0.22222222222222221"/>
  </r>
  <r>
    <x v="214"/>
    <x v="94"/>
    <x v="50"/>
    <x v="41"/>
    <s v="P106"/>
    <x v="3"/>
    <x v="0"/>
    <x v="3"/>
    <x v="3"/>
    <n v="5"/>
    <n v="9500"/>
    <n v="20"/>
    <n v="38000"/>
    <n v="33250"/>
    <n v="4750"/>
    <x v="1"/>
    <s v="Returned"/>
    <x v="10"/>
    <s v="Q2"/>
    <n v="2025"/>
    <n v="0.125"/>
  </r>
  <r>
    <x v="215"/>
    <x v="98"/>
    <x v="81"/>
    <x v="14"/>
    <s v="P107"/>
    <x v="0"/>
    <x v="0"/>
    <x v="2"/>
    <x v="3"/>
    <n v="9"/>
    <n v="3500"/>
    <n v="10"/>
    <n v="28350"/>
    <n v="22050"/>
    <n v="6300"/>
    <x v="3"/>
    <s v="Delivered"/>
    <x v="10"/>
    <s v="Q2"/>
    <n v="2025"/>
    <n v="0.22222222222222221"/>
  </r>
  <r>
    <x v="216"/>
    <x v="129"/>
    <x v="67"/>
    <x v="76"/>
    <s v="P102"/>
    <x v="1"/>
    <x v="0"/>
    <x v="2"/>
    <x v="3"/>
    <n v="9"/>
    <n v="800"/>
    <n v="0"/>
    <n v="7200"/>
    <n v="5040"/>
    <n v="2160"/>
    <x v="3"/>
    <s v="Pending"/>
    <x v="7"/>
    <s v="Q1"/>
    <n v="2025"/>
    <n v="0.3"/>
  </r>
  <r>
    <x v="217"/>
    <x v="133"/>
    <x v="65"/>
    <x v="8"/>
    <s v="P103"/>
    <x v="6"/>
    <x v="0"/>
    <x v="0"/>
    <x v="1"/>
    <n v="10"/>
    <n v="1500"/>
    <n v="20"/>
    <n v="12000"/>
    <n v="10500"/>
    <n v="1500"/>
    <x v="0"/>
    <s v="Delivered"/>
    <x v="6"/>
    <s v="Q2"/>
    <n v="2025"/>
    <n v="0.125"/>
  </r>
  <r>
    <x v="218"/>
    <x v="160"/>
    <x v="86"/>
    <x v="60"/>
    <s v="P107"/>
    <x v="0"/>
    <x v="0"/>
    <x v="3"/>
    <x v="1"/>
    <n v="8"/>
    <n v="3500"/>
    <n v="15"/>
    <n v="23800"/>
    <n v="19600"/>
    <n v="4200"/>
    <x v="0"/>
    <s v="Pending"/>
    <x v="1"/>
    <s v="Q4"/>
    <n v="2025"/>
    <n v="0.17647058823529413"/>
  </r>
  <r>
    <x v="219"/>
    <x v="161"/>
    <x v="62"/>
    <x v="84"/>
    <s v="P103"/>
    <x v="6"/>
    <x v="0"/>
    <x v="1"/>
    <x v="4"/>
    <n v="5"/>
    <n v="1500"/>
    <n v="10"/>
    <n v="6750"/>
    <n v="5250"/>
    <n v="1500"/>
    <x v="1"/>
    <s v="Delivered"/>
    <x v="0"/>
    <s v="Q4"/>
    <n v="2025"/>
    <n v="0.22222222222222221"/>
  </r>
  <r>
    <x v="220"/>
    <x v="162"/>
    <x v="68"/>
    <x v="85"/>
    <s v="P107"/>
    <x v="0"/>
    <x v="0"/>
    <x v="1"/>
    <x v="1"/>
    <n v="4"/>
    <n v="3500"/>
    <n v="5"/>
    <n v="13300"/>
    <n v="9800"/>
    <n v="3500"/>
    <x v="0"/>
    <s v="Delivered"/>
    <x v="7"/>
    <s v="Q1"/>
    <n v="2025"/>
    <n v="0.26315789473684209"/>
  </r>
  <r>
    <x v="221"/>
    <x v="97"/>
    <x v="87"/>
    <x v="21"/>
    <s v="P103"/>
    <x v="6"/>
    <x v="0"/>
    <x v="3"/>
    <x v="2"/>
    <n v="3"/>
    <n v="1500"/>
    <n v="20"/>
    <n v="3600"/>
    <n v="3150"/>
    <n v="450"/>
    <x v="0"/>
    <s v="Pending"/>
    <x v="0"/>
    <s v="Q4"/>
    <n v="2025"/>
    <n v="0.125"/>
  </r>
  <r>
    <x v="222"/>
    <x v="24"/>
    <x v="40"/>
    <x v="37"/>
    <s v="P108"/>
    <x v="4"/>
    <x v="1"/>
    <x v="1"/>
    <x v="0"/>
    <n v="5"/>
    <n v="3200"/>
    <n v="15"/>
    <n v="13600"/>
    <n v="11200"/>
    <n v="2400"/>
    <x v="3"/>
    <s v="Delivered"/>
    <x v="2"/>
    <s v="Q2"/>
    <n v="2025"/>
    <n v="0.17647058823529413"/>
  </r>
  <r>
    <x v="223"/>
    <x v="163"/>
    <x v="83"/>
    <x v="35"/>
    <s v="P107"/>
    <x v="0"/>
    <x v="0"/>
    <x v="3"/>
    <x v="5"/>
    <n v="9"/>
    <n v="3500"/>
    <n v="15"/>
    <n v="26775"/>
    <n v="22050"/>
    <n v="4725"/>
    <x v="0"/>
    <s v="Pending"/>
    <x v="4"/>
    <s v="Q4"/>
    <n v="2025"/>
    <n v="0.17647058823529413"/>
  </r>
  <r>
    <x v="224"/>
    <x v="164"/>
    <x v="85"/>
    <x v="9"/>
    <s v="P105"/>
    <x v="5"/>
    <x v="2"/>
    <x v="3"/>
    <x v="2"/>
    <n v="3"/>
    <n v="8500"/>
    <n v="20"/>
    <n v="20400"/>
    <n v="17850"/>
    <n v="2550"/>
    <x v="2"/>
    <s v="Pending"/>
    <x v="11"/>
    <s v="Q3"/>
    <n v="2025"/>
    <n v="0.125"/>
  </r>
  <r>
    <x v="225"/>
    <x v="159"/>
    <x v="68"/>
    <x v="0"/>
    <s v="P105"/>
    <x v="5"/>
    <x v="2"/>
    <x v="0"/>
    <x v="3"/>
    <n v="6"/>
    <n v="8500"/>
    <n v="10"/>
    <n v="45900"/>
    <n v="35700"/>
    <n v="10200"/>
    <x v="0"/>
    <s v="Pending"/>
    <x v="1"/>
    <s v="Q4"/>
    <n v="2025"/>
    <n v="0.22222222222222221"/>
  </r>
  <r>
    <x v="226"/>
    <x v="165"/>
    <x v="20"/>
    <x v="52"/>
    <s v="P108"/>
    <x v="4"/>
    <x v="1"/>
    <x v="2"/>
    <x v="2"/>
    <n v="2"/>
    <n v="3200"/>
    <n v="5"/>
    <n v="6080"/>
    <n v="4480"/>
    <n v="1600"/>
    <x v="0"/>
    <s v="Returned"/>
    <x v="6"/>
    <s v="Q2"/>
    <n v="2025"/>
    <n v="0.26315789473684209"/>
  </r>
  <r>
    <x v="227"/>
    <x v="42"/>
    <x v="1"/>
    <x v="26"/>
    <s v="P108"/>
    <x v="4"/>
    <x v="1"/>
    <x v="3"/>
    <x v="3"/>
    <n v="3"/>
    <n v="3200"/>
    <n v="10"/>
    <n v="8640"/>
    <n v="6720"/>
    <n v="1920"/>
    <x v="0"/>
    <s v="Returned"/>
    <x v="4"/>
    <s v="Q4"/>
    <n v="2025"/>
    <n v="0.22222222222222221"/>
  </r>
  <r>
    <x v="228"/>
    <x v="166"/>
    <x v="74"/>
    <x v="6"/>
    <s v="P102"/>
    <x v="1"/>
    <x v="0"/>
    <x v="0"/>
    <x v="4"/>
    <n v="7"/>
    <n v="800"/>
    <n v="10"/>
    <n v="5040"/>
    <n v="3920"/>
    <n v="1120"/>
    <x v="1"/>
    <s v="Pending"/>
    <x v="5"/>
    <s v="Q3"/>
    <n v="2025"/>
    <n v="0.22222222222222221"/>
  </r>
  <r>
    <x v="229"/>
    <x v="109"/>
    <x v="88"/>
    <x v="33"/>
    <s v="P106"/>
    <x v="3"/>
    <x v="0"/>
    <x v="3"/>
    <x v="0"/>
    <n v="4"/>
    <n v="9500"/>
    <n v="10"/>
    <n v="34200"/>
    <n v="26600"/>
    <n v="7600"/>
    <x v="1"/>
    <s v="Returned"/>
    <x v="1"/>
    <s v="Q4"/>
    <n v="2025"/>
    <n v="0.22222222222222221"/>
  </r>
  <r>
    <x v="230"/>
    <x v="142"/>
    <x v="14"/>
    <x v="60"/>
    <s v="P106"/>
    <x v="3"/>
    <x v="0"/>
    <x v="2"/>
    <x v="0"/>
    <n v="5"/>
    <n v="9500"/>
    <n v="10"/>
    <n v="42750"/>
    <n v="33250"/>
    <n v="9500"/>
    <x v="2"/>
    <s v="Returned"/>
    <x v="0"/>
    <s v="Q4"/>
    <n v="2025"/>
    <n v="0.22222222222222221"/>
  </r>
  <r>
    <x v="231"/>
    <x v="23"/>
    <x v="65"/>
    <x v="36"/>
    <s v="P105"/>
    <x v="5"/>
    <x v="2"/>
    <x v="1"/>
    <x v="0"/>
    <n v="9"/>
    <n v="8500"/>
    <n v="5"/>
    <n v="72675"/>
    <n v="53550"/>
    <n v="19125"/>
    <x v="3"/>
    <s v="Returned"/>
    <x v="1"/>
    <s v="Q4"/>
    <n v="2025"/>
    <n v="0.26315789473684209"/>
  </r>
  <r>
    <x v="232"/>
    <x v="144"/>
    <x v="31"/>
    <x v="82"/>
    <s v="P102"/>
    <x v="1"/>
    <x v="0"/>
    <x v="2"/>
    <x v="3"/>
    <n v="3"/>
    <n v="800"/>
    <n v="5"/>
    <n v="2280"/>
    <n v="1680"/>
    <n v="600"/>
    <x v="2"/>
    <s v="Delivered"/>
    <x v="7"/>
    <s v="Q1"/>
    <n v="2025"/>
    <n v="0.26315789473684209"/>
  </r>
  <r>
    <x v="233"/>
    <x v="156"/>
    <x v="57"/>
    <x v="5"/>
    <s v="P106"/>
    <x v="3"/>
    <x v="0"/>
    <x v="0"/>
    <x v="2"/>
    <n v="2"/>
    <n v="9500"/>
    <n v="0"/>
    <n v="19000"/>
    <n v="13300"/>
    <n v="5700"/>
    <x v="3"/>
    <s v="Returned"/>
    <x v="0"/>
    <s v="Q4"/>
    <n v="2025"/>
    <n v="0.3"/>
  </r>
  <r>
    <x v="234"/>
    <x v="49"/>
    <x v="17"/>
    <x v="5"/>
    <s v="P105"/>
    <x v="5"/>
    <x v="2"/>
    <x v="2"/>
    <x v="4"/>
    <n v="8"/>
    <n v="8500"/>
    <n v="0"/>
    <n v="68000"/>
    <n v="47600"/>
    <n v="20400"/>
    <x v="3"/>
    <s v="Pending"/>
    <x v="3"/>
    <s v="Q1"/>
    <n v="2025"/>
    <n v="0.3"/>
  </r>
  <r>
    <x v="235"/>
    <x v="167"/>
    <x v="53"/>
    <x v="18"/>
    <s v="P102"/>
    <x v="1"/>
    <x v="0"/>
    <x v="1"/>
    <x v="3"/>
    <n v="6"/>
    <n v="800"/>
    <n v="20"/>
    <n v="3840"/>
    <n v="3360"/>
    <n v="480"/>
    <x v="3"/>
    <s v="Returned"/>
    <x v="5"/>
    <s v="Q3"/>
    <n v="2025"/>
    <n v="0.125"/>
  </r>
  <r>
    <x v="236"/>
    <x v="129"/>
    <x v="32"/>
    <x v="77"/>
    <s v="P104"/>
    <x v="7"/>
    <x v="2"/>
    <x v="3"/>
    <x v="4"/>
    <n v="4"/>
    <n v="4500"/>
    <n v="5"/>
    <n v="17100"/>
    <n v="12600"/>
    <n v="4500"/>
    <x v="3"/>
    <s v="Delivered"/>
    <x v="7"/>
    <s v="Q1"/>
    <n v="2025"/>
    <n v="0.26315789473684209"/>
  </r>
  <r>
    <x v="237"/>
    <x v="16"/>
    <x v="89"/>
    <x v="38"/>
    <s v="P107"/>
    <x v="0"/>
    <x v="0"/>
    <x v="0"/>
    <x v="2"/>
    <n v="2"/>
    <n v="3500"/>
    <n v="15"/>
    <n v="5950"/>
    <n v="4900"/>
    <n v="1050"/>
    <x v="0"/>
    <s v="Pending"/>
    <x v="1"/>
    <s v="Q4"/>
    <n v="2025"/>
    <n v="0.17647058823529413"/>
  </r>
  <r>
    <x v="238"/>
    <x v="122"/>
    <x v="65"/>
    <x v="76"/>
    <s v="P103"/>
    <x v="6"/>
    <x v="0"/>
    <x v="3"/>
    <x v="2"/>
    <n v="5"/>
    <n v="1500"/>
    <n v="5"/>
    <n v="7125"/>
    <n v="5250"/>
    <n v="1875"/>
    <x v="2"/>
    <s v="Returned"/>
    <x v="9"/>
    <s v="Q1"/>
    <n v="2025"/>
    <n v="0.26315789473684209"/>
  </r>
  <r>
    <x v="239"/>
    <x v="168"/>
    <x v="90"/>
    <x v="19"/>
    <s v="P105"/>
    <x v="5"/>
    <x v="2"/>
    <x v="3"/>
    <x v="0"/>
    <n v="6"/>
    <n v="8500"/>
    <n v="5"/>
    <n v="48450"/>
    <n v="35700"/>
    <n v="12750"/>
    <x v="0"/>
    <s v="Returned"/>
    <x v="3"/>
    <s v="Q1"/>
    <n v="2025"/>
    <n v="0.26315789473684209"/>
  </r>
  <r>
    <x v="240"/>
    <x v="18"/>
    <x v="91"/>
    <x v="79"/>
    <s v="P102"/>
    <x v="1"/>
    <x v="0"/>
    <x v="2"/>
    <x v="5"/>
    <n v="7"/>
    <n v="800"/>
    <n v="15"/>
    <n v="4760"/>
    <n v="3920"/>
    <n v="840.00000000000045"/>
    <x v="1"/>
    <s v="Delivered"/>
    <x v="4"/>
    <s v="Q4"/>
    <n v="2025"/>
    <n v="0.17647058823529421"/>
  </r>
  <r>
    <x v="241"/>
    <x v="143"/>
    <x v="2"/>
    <x v="53"/>
    <s v="P108"/>
    <x v="4"/>
    <x v="1"/>
    <x v="3"/>
    <x v="3"/>
    <n v="7"/>
    <n v="3200"/>
    <n v="20"/>
    <n v="17920"/>
    <n v="15680"/>
    <n v="2240.0000000000018"/>
    <x v="2"/>
    <s v="Delivered"/>
    <x v="3"/>
    <s v="Q1"/>
    <n v="2025"/>
    <n v="0.12500000000000011"/>
  </r>
  <r>
    <x v="242"/>
    <x v="128"/>
    <x v="22"/>
    <x v="59"/>
    <s v="P105"/>
    <x v="5"/>
    <x v="2"/>
    <x v="0"/>
    <x v="2"/>
    <n v="7"/>
    <n v="8500"/>
    <n v="0"/>
    <n v="59500"/>
    <n v="41650"/>
    <n v="17850"/>
    <x v="1"/>
    <s v="Delivered"/>
    <x v="4"/>
    <s v="Q4"/>
    <n v="2025"/>
    <n v="0.3"/>
  </r>
  <r>
    <x v="243"/>
    <x v="169"/>
    <x v="86"/>
    <x v="26"/>
    <s v="P102"/>
    <x v="1"/>
    <x v="0"/>
    <x v="3"/>
    <x v="3"/>
    <n v="7"/>
    <n v="800"/>
    <n v="20"/>
    <n v="4480"/>
    <n v="3920"/>
    <n v="560.00000000000045"/>
    <x v="0"/>
    <s v="Delivered"/>
    <x v="11"/>
    <s v="Q3"/>
    <n v="2025"/>
    <n v="0.12500000000000011"/>
  </r>
  <r>
    <x v="244"/>
    <x v="0"/>
    <x v="92"/>
    <x v="57"/>
    <s v="P103"/>
    <x v="6"/>
    <x v="0"/>
    <x v="0"/>
    <x v="4"/>
    <n v="2"/>
    <n v="1500"/>
    <n v="5"/>
    <n v="2850"/>
    <n v="2100"/>
    <n v="750"/>
    <x v="2"/>
    <s v="Delivered"/>
    <x v="0"/>
    <s v="Q4"/>
    <n v="2025"/>
    <n v="0.26315789473684209"/>
  </r>
  <r>
    <x v="245"/>
    <x v="141"/>
    <x v="16"/>
    <x v="18"/>
    <s v="P106"/>
    <x v="3"/>
    <x v="0"/>
    <x v="3"/>
    <x v="1"/>
    <n v="1"/>
    <n v="9500"/>
    <n v="15"/>
    <n v="8075"/>
    <n v="6650"/>
    <n v="1425"/>
    <x v="0"/>
    <s v="Delivered"/>
    <x v="2"/>
    <s v="Q2"/>
    <n v="2025"/>
    <n v="0.17647058823529413"/>
  </r>
  <r>
    <x v="246"/>
    <x v="170"/>
    <x v="34"/>
    <x v="54"/>
    <s v="P107"/>
    <x v="0"/>
    <x v="0"/>
    <x v="3"/>
    <x v="5"/>
    <n v="7"/>
    <n v="3500"/>
    <n v="10"/>
    <n v="22050"/>
    <n v="17150"/>
    <n v="4900"/>
    <x v="3"/>
    <s v="Pending"/>
    <x v="4"/>
    <s v="Q4"/>
    <n v="2025"/>
    <n v="0.22222222222222221"/>
  </r>
  <r>
    <x v="247"/>
    <x v="171"/>
    <x v="12"/>
    <x v="65"/>
    <s v="P101"/>
    <x v="2"/>
    <x v="0"/>
    <x v="0"/>
    <x v="1"/>
    <n v="7"/>
    <n v="55000"/>
    <n v="15"/>
    <n v="327250"/>
    <n v="269500"/>
    <n v="57750"/>
    <x v="0"/>
    <s v="Returned"/>
    <x v="10"/>
    <s v="Q2"/>
    <n v="2025"/>
    <n v="0.17647058823529413"/>
  </r>
  <r>
    <x v="248"/>
    <x v="139"/>
    <x v="33"/>
    <x v="27"/>
    <s v="P108"/>
    <x v="4"/>
    <x v="1"/>
    <x v="2"/>
    <x v="5"/>
    <n v="7"/>
    <n v="3200"/>
    <n v="20"/>
    <n v="17920"/>
    <n v="15680"/>
    <n v="2240.0000000000018"/>
    <x v="3"/>
    <s v="Pending"/>
    <x v="3"/>
    <s v="Q1"/>
    <n v="2025"/>
    <n v="0.12500000000000011"/>
  </r>
  <r>
    <x v="249"/>
    <x v="172"/>
    <x v="41"/>
    <x v="58"/>
    <s v="P105"/>
    <x v="5"/>
    <x v="2"/>
    <x v="1"/>
    <x v="1"/>
    <n v="7"/>
    <n v="8500"/>
    <n v="10"/>
    <n v="53550"/>
    <n v="41650"/>
    <n v="11900"/>
    <x v="0"/>
    <s v="Pending"/>
    <x v="4"/>
    <s v="Q4"/>
    <n v="2025"/>
    <n v="0.22222222222222221"/>
  </r>
  <r>
    <x v="250"/>
    <x v="136"/>
    <x v="36"/>
    <x v="78"/>
    <s v="P106"/>
    <x v="3"/>
    <x v="0"/>
    <x v="3"/>
    <x v="0"/>
    <n v="3"/>
    <n v="9500"/>
    <n v="5"/>
    <n v="27075"/>
    <n v="19950"/>
    <n v="7125"/>
    <x v="0"/>
    <s v="Pending"/>
    <x v="2"/>
    <s v="Q2"/>
    <n v="2025"/>
    <n v="0.26315789473684209"/>
  </r>
  <r>
    <x v="251"/>
    <x v="157"/>
    <x v="0"/>
    <x v="21"/>
    <s v="P107"/>
    <x v="0"/>
    <x v="0"/>
    <x v="2"/>
    <x v="1"/>
    <n v="2"/>
    <n v="3500"/>
    <n v="20"/>
    <n v="5600"/>
    <n v="4900"/>
    <n v="700"/>
    <x v="0"/>
    <s v="Delivered"/>
    <x v="6"/>
    <s v="Q2"/>
    <n v="2025"/>
    <n v="0.125"/>
  </r>
  <r>
    <x v="252"/>
    <x v="173"/>
    <x v="53"/>
    <x v="16"/>
    <s v="P103"/>
    <x v="6"/>
    <x v="0"/>
    <x v="2"/>
    <x v="0"/>
    <n v="2"/>
    <n v="1500"/>
    <n v="10"/>
    <n v="2700"/>
    <n v="2100"/>
    <n v="600"/>
    <x v="3"/>
    <s v="Returned"/>
    <x v="9"/>
    <s v="Q1"/>
    <n v="2025"/>
    <n v="0.22222222222222221"/>
  </r>
  <r>
    <x v="253"/>
    <x v="174"/>
    <x v="18"/>
    <x v="32"/>
    <s v="P107"/>
    <x v="0"/>
    <x v="0"/>
    <x v="2"/>
    <x v="4"/>
    <n v="1"/>
    <n v="3500"/>
    <n v="0"/>
    <n v="3500"/>
    <n v="2450"/>
    <n v="1050"/>
    <x v="1"/>
    <s v="Pending"/>
    <x v="5"/>
    <s v="Q3"/>
    <n v="2025"/>
    <n v="0.3"/>
  </r>
  <r>
    <x v="254"/>
    <x v="175"/>
    <x v="35"/>
    <x v="12"/>
    <s v="P107"/>
    <x v="0"/>
    <x v="0"/>
    <x v="2"/>
    <x v="3"/>
    <n v="8"/>
    <n v="3500"/>
    <n v="20"/>
    <n v="22400"/>
    <n v="19600"/>
    <n v="2800"/>
    <x v="2"/>
    <s v="Returned"/>
    <x v="1"/>
    <s v="Q4"/>
    <n v="2025"/>
    <n v="0.125"/>
  </r>
  <r>
    <x v="255"/>
    <x v="54"/>
    <x v="4"/>
    <x v="71"/>
    <s v="P106"/>
    <x v="3"/>
    <x v="0"/>
    <x v="2"/>
    <x v="4"/>
    <n v="4"/>
    <n v="9500"/>
    <n v="10"/>
    <n v="34200"/>
    <n v="26600"/>
    <n v="7600"/>
    <x v="2"/>
    <s v="Pending"/>
    <x v="10"/>
    <s v="Q2"/>
    <n v="2025"/>
    <n v="0.22222222222222221"/>
  </r>
  <r>
    <x v="256"/>
    <x v="176"/>
    <x v="20"/>
    <x v="46"/>
    <s v="P102"/>
    <x v="1"/>
    <x v="0"/>
    <x v="0"/>
    <x v="5"/>
    <n v="1"/>
    <n v="800"/>
    <n v="5"/>
    <n v="760"/>
    <n v="560"/>
    <n v="200"/>
    <x v="0"/>
    <s v="Pending"/>
    <x v="0"/>
    <s v="Q4"/>
    <n v="2025"/>
    <n v="0.26315789473684209"/>
  </r>
  <r>
    <x v="257"/>
    <x v="29"/>
    <x v="20"/>
    <x v="80"/>
    <s v="P103"/>
    <x v="6"/>
    <x v="0"/>
    <x v="0"/>
    <x v="4"/>
    <n v="4"/>
    <n v="1500"/>
    <n v="15"/>
    <n v="5100"/>
    <n v="4200"/>
    <n v="900"/>
    <x v="3"/>
    <s v="Delivered"/>
    <x v="10"/>
    <s v="Q2"/>
    <n v="2025"/>
    <n v="0.17647058823529413"/>
  </r>
  <r>
    <x v="258"/>
    <x v="177"/>
    <x v="47"/>
    <x v="32"/>
    <s v="P102"/>
    <x v="1"/>
    <x v="0"/>
    <x v="2"/>
    <x v="0"/>
    <n v="10"/>
    <n v="800"/>
    <n v="5"/>
    <n v="7600"/>
    <n v="5600"/>
    <n v="2000"/>
    <x v="3"/>
    <s v="Delivered"/>
    <x v="5"/>
    <s v="Q3"/>
    <n v="2025"/>
    <n v="0.26315789473684209"/>
  </r>
  <r>
    <x v="259"/>
    <x v="17"/>
    <x v="74"/>
    <x v="18"/>
    <s v="P105"/>
    <x v="5"/>
    <x v="2"/>
    <x v="3"/>
    <x v="4"/>
    <n v="10"/>
    <n v="8500"/>
    <n v="20"/>
    <n v="68000"/>
    <n v="59499.999999999993"/>
    <n v="8500.0000000000073"/>
    <x v="1"/>
    <s v="Returned"/>
    <x v="7"/>
    <s v="Q1"/>
    <n v="2025"/>
    <n v="0.12500000000000011"/>
  </r>
  <r>
    <x v="260"/>
    <x v="178"/>
    <x v="5"/>
    <x v="30"/>
    <s v="P101"/>
    <x v="2"/>
    <x v="0"/>
    <x v="0"/>
    <x v="3"/>
    <n v="7"/>
    <n v="55000"/>
    <n v="15"/>
    <n v="327250"/>
    <n v="269500"/>
    <n v="57750"/>
    <x v="3"/>
    <s v="Returned"/>
    <x v="7"/>
    <s v="Q1"/>
    <n v="2025"/>
    <n v="0.17647058823529413"/>
  </r>
  <r>
    <x v="261"/>
    <x v="179"/>
    <x v="50"/>
    <x v="20"/>
    <s v="P101"/>
    <x v="2"/>
    <x v="0"/>
    <x v="3"/>
    <x v="5"/>
    <n v="10"/>
    <n v="55000"/>
    <n v="15"/>
    <n v="467500"/>
    <n v="385000"/>
    <n v="82500"/>
    <x v="2"/>
    <s v="Delivered"/>
    <x v="6"/>
    <s v="Q2"/>
    <n v="2025"/>
    <n v="0.17647058823529413"/>
  </r>
  <r>
    <x v="262"/>
    <x v="180"/>
    <x v="93"/>
    <x v="86"/>
    <s v="P106"/>
    <x v="3"/>
    <x v="0"/>
    <x v="2"/>
    <x v="4"/>
    <n v="1"/>
    <n v="9500"/>
    <n v="10"/>
    <n v="8550"/>
    <n v="6650"/>
    <n v="1900"/>
    <x v="0"/>
    <s v="Delivered"/>
    <x v="3"/>
    <s v="Q1"/>
    <n v="2025"/>
    <n v="0.22222222222222221"/>
  </r>
  <r>
    <x v="263"/>
    <x v="181"/>
    <x v="50"/>
    <x v="20"/>
    <s v="P103"/>
    <x v="6"/>
    <x v="0"/>
    <x v="3"/>
    <x v="1"/>
    <n v="8"/>
    <n v="1500"/>
    <n v="20"/>
    <n v="9600"/>
    <n v="8400"/>
    <n v="1200"/>
    <x v="0"/>
    <s v="Returned"/>
    <x v="8"/>
    <s v="Q3"/>
    <n v="2025"/>
    <n v="0.125"/>
  </r>
  <r>
    <x v="264"/>
    <x v="149"/>
    <x v="28"/>
    <x v="87"/>
    <s v="P102"/>
    <x v="1"/>
    <x v="0"/>
    <x v="0"/>
    <x v="1"/>
    <n v="5"/>
    <n v="800"/>
    <n v="20"/>
    <n v="3200"/>
    <n v="2800"/>
    <n v="400"/>
    <x v="2"/>
    <s v="Pending"/>
    <x v="2"/>
    <s v="Q2"/>
    <n v="2025"/>
    <n v="0.125"/>
  </r>
  <r>
    <x v="265"/>
    <x v="178"/>
    <x v="94"/>
    <x v="88"/>
    <s v="P105"/>
    <x v="5"/>
    <x v="2"/>
    <x v="3"/>
    <x v="0"/>
    <n v="1"/>
    <n v="8500"/>
    <n v="20"/>
    <n v="6800"/>
    <n v="5950"/>
    <n v="850"/>
    <x v="3"/>
    <s v="Pending"/>
    <x v="7"/>
    <s v="Q1"/>
    <n v="2025"/>
    <n v="0.125"/>
  </r>
  <r>
    <x v="266"/>
    <x v="176"/>
    <x v="80"/>
    <x v="88"/>
    <s v="P101"/>
    <x v="2"/>
    <x v="0"/>
    <x v="3"/>
    <x v="1"/>
    <n v="9"/>
    <n v="55000"/>
    <n v="0"/>
    <n v="495000"/>
    <n v="346500"/>
    <n v="148500"/>
    <x v="1"/>
    <s v="Pending"/>
    <x v="0"/>
    <s v="Q4"/>
    <n v="2025"/>
    <n v="0.3"/>
  </r>
  <r>
    <x v="267"/>
    <x v="118"/>
    <x v="51"/>
    <x v="89"/>
    <s v="P104"/>
    <x v="7"/>
    <x v="2"/>
    <x v="2"/>
    <x v="1"/>
    <n v="1"/>
    <n v="4500"/>
    <n v="10"/>
    <n v="4050"/>
    <n v="3150"/>
    <n v="900"/>
    <x v="2"/>
    <s v="Returned"/>
    <x v="5"/>
    <s v="Q3"/>
    <n v="2025"/>
    <n v="0.22222222222222221"/>
  </r>
  <r>
    <x v="268"/>
    <x v="182"/>
    <x v="25"/>
    <x v="32"/>
    <s v="P104"/>
    <x v="7"/>
    <x v="2"/>
    <x v="1"/>
    <x v="5"/>
    <n v="6"/>
    <n v="4500"/>
    <n v="10"/>
    <n v="24300"/>
    <n v="18900"/>
    <n v="5400"/>
    <x v="0"/>
    <s v="Returned"/>
    <x v="11"/>
    <s v="Q3"/>
    <n v="2025"/>
    <n v="0.22222222222222221"/>
  </r>
  <r>
    <x v="269"/>
    <x v="39"/>
    <x v="87"/>
    <x v="71"/>
    <s v="P102"/>
    <x v="1"/>
    <x v="0"/>
    <x v="1"/>
    <x v="0"/>
    <n v="2"/>
    <n v="800"/>
    <n v="15"/>
    <n v="1360"/>
    <n v="1120"/>
    <n v="240"/>
    <x v="3"/>
    <s v="Delivered"/>
    <x v="7"/>
    <s v="Q1"/>
    <n v="2025"/>
    <n v="0.17647058823529413"/>
  </r>
  <r>
    <x v="270"/>
    <x v="60"/>
    <x v="6"/>
    <x v="58"/>
    <s v="P108"/>
    <x v="4"/>
    <x v="1"/>
    <x v="0"/>
    <x v="0"/>
    <n v="6"/>
    <n v="3200"/>
    <n v="0"/>
    <n v="19200"/>
    <n v="13440"/>
    <n v="5760"/>
    <x v="3"/>
    <s v="Delivered"/>
    <x v="9"/>
    <s v="Q1"/>
    <n v="2025"/>
    <n v="0.3"/>
  </r>
  <r>
    <x v="271"/>
    <x v="183"/>
    <x v="59"/>
    <x v="36"/>
    <s v="P102"/>
    <x v="1"/>
    <x v="0"/>
    <x v="2"/>
    <x v="5"/>
    <n v="1"/>
    <n v="800"/>
    <n v="10"/>
    <n v="720"/>
    <n v="560"/>
    <n v="160"/>
    <x v="1"/>
    <s v="Delivered"/>
    <x v="1"/>
    <s v="Q4"/>
    <n v="2025"/>
    <n v="0.22222222222222221"/>
  </r>
  <r>
    <x v="272"/>
    <x v="110"/>
    <x v="18"/>
    <x v="31"/>
    <s v="P107"/>
    <x v="0"/>
    <x v="0"/>
    <x v="1"/>
    <x v="1"/>
    <n v="1"/>
    <n v="3500"/>
    <n v="20"/>
    <n v="2800"/>
    <n v="2450"/>
    <n v="350"/>
    <x v="2"/>
    <s v="Pending"/>
    <x v="10"/>
    <s v="Q2"/>
    <n v="2025"/>
    <n v="0.125"/>
  </r>
  <r>
    <x v="273"/>
    <x v="184"/>
    <x v="49"/>
    <x v="28"/>
    <s v="P107"/>
    <x v="0"/>
    <x v="0"/>
    <x v="3"/>
    <x v="3"/>
    <n v="2"/>
    <n v="3500"/>
    <n v="20"/>
    <n v="5600"/>
    <n v="4900"/>
    <n v="700"/>
    <x v="3"/>
    <s v="Returned"/>
    <x v="3"/>
    <s v="Q1"/>
    <n v="2025"/>
    <n v="0.125"/>
  </r>
  <r>
    <x v="274"/>
    <x v="185"/>
    <x v="38"/>
    <x v="28"/>
    <s v="P103"/>
    <x v="6"/>
    <x v="0"/>
    <x v="2"/>
    <x v="3"/>
    <n v="2"/>
    <n v="1500"/>
    <n v="10"/>
    <n v="2700"/>
    <n v="2100"/>
    <n v="600"/>
    <x v="0"/>
    <s v="Delivered"/>
    <x v="1"/>
    <s v="Q4"/>
    <n v="2025"/>
    <n v="0.22222222222222221"/>
  </r>
  <r>
    <x v="275"/>
    <x v="31"/>
    <x v="80"/>
    <x v="30"/>
    <s v="P105"/>
    <x v="5"/>
    <x v="2"/>
    <x v="3"/>
    <x v="1"/>
    <n v="1"/>
    <n v="8500"/>
    <n v="15"/>
    <n v="7225"/>
    <n v="5950"/>
    <n v="1275"/>
    <x v="3"/>
    <s v="Delivered"/>
    <x v="8"/>
    <s v="Q3"/>
    <n v="2025"/>
    <n v="0.17647058823529413"/>
  </r>
  <r>
    <x v="276"/>
    <x v="1"/>
    <x v="8"/>
    <x v="29"/>
    <s v="P104"/>
    <x v="7"/>
    <x v="2"/>
    <x v="1"/>
    <x v="0"/>
    <n v="1"/>
    <n v="4500"/>
    <n v="20"/>
    <n v="3600"/>
    <n v="3150"/>
    <n v="450"/>
    <x v="1"/>
    <s v="Delivered"/>
    <x v="1"/>
    <s v="Q4"/>
    <n v="2025"/>
    <n v="0.125"/>
  </r>
  <r>
    <x v="277"/>
    <x v="186"/>
    <x v="87"/>
    <x v="19"/>
    <s v="P101"/>
    <x v="2"/>
    <x v="0"/>
    <x v="0"/>
    <x v="4"/>
    <n v="10"/>
    <n v="55000"/>
    <n v="15"/>
    <n v="467500"/>
    <n v="385000"/>
    <n v="82500"/>
    <x v="2"/>
    <s v="Pending"/>
    <x v="3"/>
    <s v="Q1"/>
    <n v="2025"/>
    <n v="0.17647058823529413"/>
  </r>
  <r>
    <x v="278"/>
    <x v="187"/>
    <x v="33"/>
    <x v="74"/>
    <s v="P103"/>
    <x v="6"/>
    <x v="0"/>
    <x v="2"/>
    <x v="1"/>
    <n v="9"/>
    <n v="1500"/>
    <n v="20"/>
    <n v="10800"/>
    <n v="9450"/>
    <n v="1350"/>
    <x v="1"/>
    <s v="Delivered"/>
    <x v="3"/>
    <s v="Q1"/>
    <n v="2025"/>
    <n v="0.125"/>
  </r>
  <r>
    <x v="279"/>
    <x v="124"/>
    <x v="61"/>
    <x v="6"/>
    <s v="P104"/>
    <x v="7"/>
    <x v="2"/>
    <x v="3"/>
    <x v="4"/>
    <n v="6"/>
    <n v="4500"/>
    <n v="10"/>
    <n v="24300"/>
    <n v="18900"/>
    <n v="5400"/>
    <x v="0"/>
    <s v="Delivered"/>
    <x v="5"/>
    <s v="Q3"/>
    <n v="2025"/>
    <n v="0.22222222222222221"/>
  </r>
  <r>
    <x v="280"/>
    <x v="188"/>
    <x v="52"/>
    <x v="27"/>
    <s v="P105"/>
    <x v="5"/>
    <x v="2"/>
    <x v="1"/>
    <x v="2"/>
    <n v="7"/>
    <n v="8500"/>
    <n v="5"/>
    <n v="56525"/>
    <n v="41650"/>
    <n v="14875"/>
    <x v="1"/>
    <s v="Pending"/>
    <x v="9"/>
    <s v="Q1"/>
    <n v="2025"/>
    <n v="0.26315789473684209"/>
  </r>
  <r>
    <x v="281"/>
    <x v="189"/>
    <x v="83"/>
    <x v="69"/>
    <s v="P108"/>
    <x v="4"/>
    <x v="1"/>
    <x v="0"/>
    <x v="2"/>
    <n v="1"/>
    <n v="3200"/>
    <n v="0"/>
    <n v="3200"/>
    <n v="2240"/>
    <n v="960"/>
    <x v="3"/>
    <s v="Delivered"/>
    <x v="5"/>
    <s v="Q3"/>
    <n v="2025"/>
    <n v="0.3"/>
  </r>
  <r>
    <x v="282"/>
    <x v="6"/>
    <x v="50"/>
    <x v="57"/>
    <s v="P108"/>
    <x v="4"/>
    <x v="1"/>
    <x v="2"/>
    <x v="3"/>
    <n v="10"/>
    <n v="3200"/>
    <n v="10"/>
    <n v="28800"/>
    <n v="22400"/>
    <n v="6400"/>
    <x v="2"/>
    <s v="Delivered"/>
    <x v="2"/>
    <s v="Q2"/>
    <n v="2025"/>
    <n v="0.22222222222222221"/>
  </r>
  <r>
    <x v="283"/>
    <x v="131"/>
    <x v="61"/>
    <x v="54"/>
    <s v="P106"/>
    <x v="3"/>
    <x v="0"/>
    <x v="0"/>
    <x v="4"/>
    <n v="2"/>
    <n v="9500"/>
    <n v="5"/>
    <n v="18050"/>
    <n v="13300"/>
    <n v="4750"/>
    <x v="0"/>
    <s v="Returned"/>
    <x v="9"/>
    <s v="Q1"/>
    <n v="2025"/>
    <n v="0.26315789473684209"/>
  </r>
  <r>
    <x v="284"/>
    <x v="190"/>
    <x v="44"/>
    <x v="81"/>
    <s v="P101"/>
    <x v="2"/>
    <x v="0"/>
    <x v="1"/>
    <x v="2"/>
    <n v="2"/>
    <n v="55000"/>
    <n v="20"/>
    <n v="88000"/>
    <n v="77000"/>
    <n v="11000"/>
    <x v="0"/>
    <s v="Returned"/>
    <x v="9"/>
    <s v="Q1"/>
    <n v="2025"/>
    <n v="0.125"/>
  </r>
  <r>
    <x v="285"/>
    <x v="136"/>
    <x v="66"/>
    <x v="56"/>
    <s v="P108"/>
    <x v="4"/>
    <x v="1"/>
    <x v="0"/>
    <x v="0"/>
    <n v="3"/>
    <n v="3200"/>
    <n v="5"/>
    <n v="9120"/>
    <n v="6720"/>
    <n v="2400"/>
    <x v="2"/>
    <s v="Returned"/>
    <x v="2"/>
    <s v="Q2"/>
    <n v="2025"/>
    <n v="0.26315789473684209"/>
  </r>
  <r>
    <x v="286"/>
    <x v="191"/>
    <x v="28"/>
    <x v="54"/>
    <s v="P105"/>
    <x v="5"/>
    <x v="2"/>
    <x v="1"/>
    <x v="2"/>
    <n v="4"/>
    <n v="8500"/>
    <n v="5"/>
    <n v="32300"/>
    <n v="23800"/>
    <n v="8500"/>
    <x v="0"/>
    <s v="Delivered"/>
    <x v="2"/>
    <s v="Q2"/>
    <n v="2025"/>
    <n v="0.26315789473684209"/>
  </r>
  <r>
    <x v="287"/>
    <x v="192"/>
    <x v="29"/>
    <x v="17"/>
    <s v="P104"/>
    <x v="7"/>
    <x v="2"/>
    <x v="3"/>
    <x v="4"/>
    <n v="4"/>
    <n v="4500"/>
    <n v="15"/>
    <n v="15300"/>
    <n v="12600"/>
    <n v="2700"/>
    <x v="1"/>
    <s v="Returned"/>
    <x v="4"/>
    <s v="Q4"/>
    <n v="2025"/>
    <n v="0.17647058823529413"/>
  </r>
  <r>
    <x v="288"/>
    <x v="178"/>
    <x v="70"/>
    <x v="5"/>
    <s v="P101"/>
    <x v="2"/>
    <x v="0"/>
    <x v="0"/>
    <x v="1"/>
    <n v="1"/>
    <n v="55000"/>
    <n v="5"/>
    <n v="52250"/>
    <n v="38500"/>
    <n v="13750"/>
    <x v="3"/>
    <s v="Delivered"/>
    <x v="7"/>
    <s v="Q1"/>
    <n v="2025"/>
    <n v="0.26315789473684209"/>
  </r>
  <r>
    <x v="289"/>
    <x v="193"/>
    <x v="60"/>
    <x v="80"/>
    <s v="P104"/>
    <x v="7"/>
    <x v="2"/>
    <x v="1"/>
    <x v="0"/>
    <n v="9"/>
    <n v="4500"/>
    <n v="15"/>
    <n v="34425"/>
    <n v="28350"/>
    <n v="6075"/>
    <x v="2"/>
    <s v="Pending"/>
    <x v="6"/>
    <s v="Q2"/>
    <n v="2025"/>
    <n v="0.17647058823529413"/>
  </r>
  <r>
    <x v="290"/>
    <x v="194"/>
    <x v="29"/>
    <x v="26"/>
    <s v="P102"/>
    <x v="1"/>
    <x v="0"/>
    <x v="0"/>
    <x v="4"/>
    <n v="10"/>
    <n v="800"/>
    <n v="15"/>
    <n v="6800"/>
    <n v="5600"/>
    <n v="1200"/>
    <x v="1"/>
    <s v="Pending"/>
    <x v="3"/>
    <s v="Q1"/>
    <n v="2025"/>
    <n v="0.17647058823529413"/>
  </r>
  <r>
    <x v="291"/>
    <x v="152"/>
    <x v="93"/>
    <x v="90"/>
    <s v="P108"/>
    <x v="4"/>
    <x v="1"/>
    <x v="2"/>
    <x v="5"/>
    <n v="10"/>
    <n v="3200"/>
    <n v="20"/>
    <n v="25600"/>
    <n v="22400"/>
    <n v="3200"/>
    <x v="3"/>
    <s v="Returned"/>
    <x v="11"/>
    <s v="Q3"/>
    <n v="2025"/>
    <n v="0.125"/>
  </r>
  <r>
    <x v="292"/>
    <x v="171"/>
    <x v="70"/>
    <x v="78"/>
    <s v="P107"/>
    <x v="0"/>
    <x v="0"/>
    <x v="3"/>
    <x v="3"/>
    <n v="4"/>
    <n v="3500"/>
    <n v="15"/>
    <n v="11900"/>
    <n v="9800"/>
    <n v="2100"/>
    <x v="3"/>
    <s v="Pending"/>
    <x v="10"/>
    <s v="Q2"/>
    <n v="2025"/>
    <n v="0.17647058823529413"/>
  </r>
  <r>
    <x v="293"/>
    <x v="195"/>
    <x v="66"/>
    <x v="1"/>
    <s v="P102"/>
    <x v="1"/>
    <x v="0"/>
    <x v="3"/>
    <x v="1"/>
    <n v="2"/>
    <n v="800"/>
    <n v="5"/>
    <n v="1520"/>
    <n v="1120"/>
    <n v="400"/>
    <x v="0"/>
    <s v="Pending"/>
    <x v="9"/>
    <s v="Q1"/>
    <n v="2025"/>
    <n v="0.26315789473684209"/>
  </r>
  <r>
    <x v="294"/>
    <x v="121"/>
    <x v="43"/>
    <x v="91"/>
    <s v="P108"/>
    <x v="4"/>
    <x v="1"/>
    <x v="2"/>
    <x v="3"/>
    <n v="9"/>
    <n v="3200"/>
    <n v="5"/>
    <n v="27360"/>
    <n v="20160"/>
    <n v="7200"/>
    <x v="2"/>
    <s v="Pending"/>
    <x v="9"/>
    <s v="Q1"/>
    <n v="2025"/>
    <n v="0.26315789473684209"/>
  </r>
  <r>
    <x v="295"/>
    <x v="196"/>
    <x v="66"/>
    <x v="17"/>
    <s v="P105"/>
    <x v="5"/>
    <x v="2"/>
    <x v="2"/>
    <x v="5"/>
    <n v="2"/>
    <n v="8500"/>
    <n v="20"/>
    <n v="13600"/>
    <n v="11900"/>
    <n v="1700"/>
    <x v="1"/>
    <s v="Returned"/>
    <x v="5"/>
    <s v="Q3"/>
    <n v="2025"/>
    <n v="0.125"/>
  </r>
  <r>
    <x v="296"/>
    <x v="197"/>
    <x v="8"/>
    <x v="65"/>
    <s v="P102"/>
    <x v="1"/>
    <x v="0"/>
    <x v="3"/>
    <x v="0"/>
    <n v="2"/>
    <n v="800"/>
    <n v="20"/>
    <n v="1280"/>
    <n v="1120"/>
    <n v="160"/>
    <x v="1"/>
    <s v="Returned"/>
    <x v="10"/>
    <s v="Q2"/>
    <n v="2025"/>
    <n v="0.125"/>
  </r>
  <r>
    <x v="297"/>
    <x v="198"/>
    <x v="25"/>
    <x v="82"/>
    <s v="P104"/>
    <x v="7"/>
    <x v="2"/>
    <x v="2"/>
    <x v="2"/>
    <n v="2"/>
    <n v="4500"/>
    <n v="10"/>
    <n v="8100"/>
    <n v="6300"/>
    <n v="1800"/>
    <x v="3"/>
    <s v="Delivered"/>
    <x v="0"/>
    <s v="Q4"/>
    <n v="2025"/>
    <n v="0.22222222222222221"/>
  </r>
  <r>
    <x v="298"/>
    <x v="199"/>
    <x v="95"/>
    <x v="34"/>
    <s v="P107"/>
    <x v="0"/>
    <x v="0"/>
    <x v="2"/>
    <x v="1"/>
    <n v="8"/>
    <n v="3500"/>
    <n v="20"/>
    <n v="22400"/>
    <n v="19600"/>
    <n v="2800"/>
    <x v="2"/>
    <s v="Returned"/>
    <x v="3"/>
    <s v="Q1"/>
    <n v="2025"/>
    <n v="0.125"/>
  </r>
  <r>
    <x v="299"/>
    <x v="84"/>
    <x v="45"/>
    <x v="67"/>
    <s v="P103"/>
    <x v="6"/>
    <x v="0"/>
    <x v="0"/>
    <x v="1"/>
    <n v="9"/>
    <n v="1500"/>
    <n v="20"/>
    <n v="10800"/>
    <n v="9450"/>
    <n v="1350"/>
    <x v="2"/>
    <s v="Delivered"/>
    <x v="11"/>
    <s v="Q3"/>
    <n v="2025"/>
    <n v="0.125"/>
  </r>
  <r>
    <x v="300"/>
    <x v="200"/>
    <x v="2"/>
    <x v="48"/>
    <s v="P105"/>
    <x v="5"/>
    <x v="2"/>
    <x v="2"/>
    <x v="1"/>
    <n v="3"/>
    <n v="8500"/>
    <n v="20"/>
    <n v="20400"/>
    <n v="17850"/>
    <n v="2550"/>
    <x v="1"/>
    <s v="Returned"/>
    <x v="0"/>
    <s v="Q4"/>
    <n v="2025"/>
    <n v="0.125"/>
  </r>
  <r>
    <x v="301"/>
    <x v="99"/>
    <x v="88"/>
    <x v="34"/>
    <s v="P108"/>
    <x v="4"/>
    <x v="1"/>
    <x v="3"/>
    <x v="0"/>
    <n v="5"/>
    <n v="3200"/>
    <n v="0"/>
    <n v="16000"/>
    <n v="11200"/>
    <n v="4800"/>
    <x v="0"/>
    <s v="Pending"/>
    <x v="2"/>
    <s v="Q2"/>
    <n v="2025"/>
    <n v="0.3"/>
  </r>
  <r>
    <x v="302"/>
    <x v="19"/>
    <x v="32"/>
    <x v="8"/>
    <s v="P101"/>
    <x v="2"/>
    <x v="0"/>
    <x v="2"/>
    <x v="5"/>
    <n v="1"/>
    <n v="55000"/>
    <n v="10"/>
    <n v="49500"/>
    <n v="38500"/>
    <n v="11000"/>
    <x v="2"/>
    <s v="Delivered"/>
    <x v="9"/>
    <s v="Q1"/>
    <n v="2025"/>
    <n v="0.22222222222222221"/>
  </r>
  <r>
    <x v="303"/>
    <x v="132"/>
    <x v="0"/>
    <x v="40"/>
    <s v="P106"/>
    <x v="3"/>
    <x v="0"/>
    <x v="2"/>
    <x v="0"/>
    <n v="9"/>
    <n v="9500"/>
    <n v="15"/>
    <n v="72675"/>
    <n v="59849.999999999993"/>
    <n v="12825.000000000009"/>
    <x v="3"/>
    <s v="Pending"/>
    <x v="3"/>
    <s v="Q1"/>
    <n v="2025"/>
    <n v="0.17647058823529424"/>
  </r>
  <r>
    <x v="304"/>
    <x v="65"/>
    <x v="35"/>
    <x v="48"/>
    <s v="P101"/>
    <x v="2"/>
    <x v="0"/>
    <x v="1"/>
    <x v="3"/>
    <n v="9"/>
    <n v="55000"/>
    <n v="20"/>
    <n v="396000"/>
    <n v="346500"/>
    <n v="49500"/>
    <x v="2"/>
    <s v="Delivered"/>
    <x v="1"/>
    <s v="Q4"/>
    <n v="2025"/>
    <n v="0.125"/>
  </r>
  <r>
    <x v="305"/>
    <x v="165"/>
    <x v="45"/>
    <x v="20"/>
    <s v="P105"/>
    <x v="5"/>
    <x v="2"/>
    <x v="1"/>
    <x v="5"/>
    <n v="5"/>
    <n v="8500"/>
    <n v="5"/>
    <n v="40375"/>
    <n v="29750"/>
    <n v="10625"/>
    <x v="2"/>
    <s v="Pending"/>
    <x v="6"/>
    <s v="Q2"/>
    <n v="2025"/>
    <n v="0.26315789473684209"/>
  </r>
  <r>
    <x v="306"/>
    <x v="158"/>
    <x v="35"/>
    <x v="14"/>
    <s v="P108"/>
    <x v="4"/>
    <x v="1"/>
    <x v="0"/>
    <x v="3"/>
    <n v="6"/>
    <n v="3200"/>
    <n v="20"/>
    <n v="15360"/>
    <n v="13440"/>
    <n v="1920"/>
    <x v="3"/>
    <s v="Returned"/>
    <x v="6"/>
    <s v="Q2"/>
    <n v="2025"/>
    <n v="0.125"/>
  </r>
  <r>
    <x v="307"/>
    <x v="96"/>
    <x v="93"/>
    <x v="44"/>
    <s v="P106"/>
    <x v="3"/>
    <x v="0"/>
    <x v="1"/>
    <x v="3"/>
    <n v="6"/>
    <n v="9500"/>
    <n v="20"/>
    <n v="45600"/>
    <n v="39900"/>
    <n v="5700"/>
    <x v="2"/>
    <s v="Pending"/>
    <x v="10"/>
    <s v="Q2"/>
    <n v="2025"/>
    <n v="0.125"/>
  </r>
  <r>
    <x v="308"/>
    <x v="172"/>
    <x v="57"/>
    <x v="55"/>
    <s v="P108"/>
    <x v="4"/>
    <x v="1"/>
    <x v="0"/>
    <x v="5"/>
    <n v="2"/>
    <n v="3200"/>
    <n v="15"/>
    <n v="5440"/>
    <n v="4480"/>
    <n v="960"/>
    <x v="0"/>
    <s v="Pending"/>
    <x v="4"/>
    <s v="Q4"/>
    <n v="2025"/>
    <n v="0.17647058823529413"/>
  </r>
  <r>
    <x v="309"/>
    <x v="72"/>
    <x v="52"/>
    <x v="66"/>
    <s v="P104"/>
    <x v="7"/>
    <x v="2"/>
    <x v="2"/>
    <x v="3"/>
    <n v="7"/>
    <n v="4500"/>
    <n v="0"/>
    <n v="31500"/>
    <n v="22050"/>
    <n v="9450"/>
    <x v="1"/>
    <s v="Pending"/>
    <x v="10"/>
    <s v="Q2"/>
    <n v="2025"/>
    <n v="0.3"/>
  </r>
  <r>
    <x v="310"/>
    <x v="46"/>
    <x v="83"/>
    <x v="63"/>
    <s v="P107"/>
    <x v="0"/>
    <x v="0"/>
    <x v="0"/>
    <x v="5"/>
    <n v="3"/>
    <n v="3500"/>
    <n v="5"/>
    <n v="9975"/>
    <n v="7349.9999999999991"/>
    <n v="2625.0000000000009"/>
    <x v="1"/>
    <s v="Returned"/>
    <x v="9"/>
    <s v="Q1"/>
    <n v="2025"/>
    <n v="0.2631578947368422"/>
  </r>
  <r>
    <x v="311"/>
    <x v="201"/>
    <x v="78"/>
    <x v="26"/>
    <s v="P104"/>
    <x v="7"/>
    <x v="2"/>
    <x v="3"/>
    <x v="5"/>
    <n v="7"/>
    <n v="4500"/>
    <n v="5"/>
    <n v="29925"/>
    <n v="22050"/>
    <n v="7875"/>
    <x v="2"/>
    <s v="Delivered"/>
    <x v="3"/>
    <s v="Q1"/>
    <n v="2025"/>
    <n v="0.26315789473684209"/>
  </r>
  <r>
    <x v="312"/>
    <x v="190"/>
    <x v="41"/>
    <x v="16"/>
    <s v="P105"/>
    <x v="5"/>
    <x v="2"/>
    <x v="3"/>
    <x v="0"/>
    <n v="2"/>
    <n v="8500"/>
    <n v="10"/>
    <n v="15300"/>
    <n v="11900"/>
    <n v="3400"/>
    <x v="1"/>
    <s v="Returned"/>
    <x v="9"/>
    <s v="Q1"/>
    <n v="2025"/>
    <n v="0.22222222222222221"/>
  </r>
  <r>
    <x v="313"/>
    <x v="79"/>
    <x v="17"/>
    <x v="92"/>
    <s v="P101"/>
    <x v="2"/>
    <x v="0"/>
    <x v="0"/>
    <x v="4"/>
    <n v="2"/>
    <n v="55000"/>
    <n v="20"/>
    <n v="88000"/>
    <n v="77000"/>
    <n v="11000"/>
    <x v="1"/>
    <s v="Delivered"/>
    <x v="6"/>
    <s v="Q2"/>
    <n v="2025"/>
    <n v="0.125"/>
  </r>
  <r>
    <x v="314"/>
    <x v="30"/>
    <x v="27"/>
    <x v="5"/>
    <s v="P103"/>
    <x v="6"/>
    <x v="0"/>
    <x v="2"/>
    <x v="2"/>
    <n v="8"/>
    <n v="1500"/>
    <n v="10"/>
    <n v="10800"/>
    <n v="8400"/>
    <n v="2400"/>
    <x v="1"/>
    <s v="Pending"/>
    <x v="9"/>
    <s v="Q1"/>
    <n v="2025"/>
    <n v="0.22222222222222221"/>
  </r>
  <r>
    <x v="315"/>
    <x v="202"/>
    <x v="46"/>
    <x v="4"/>
    <s v="P107"/>
    <x v="0"/>
    <x v="0"/>
    <x v="1"/>
    <x v="4"/>
    <n v="10"/>
    <n v="3500"/>
    <n v="0"/>
    <n v="35000"/>
    <n v="24500"/>
    <n v="10500"/>
    <x v="1"/>
    <s v="Returned"/>
    <x v="9"/>
    <s v="Q1"/>
    <n v="2025"/>
    <n v="0.3"/>
  </r>
  <r>
    <x v="316"/>
    <x v="203"/>
    <x v="31"/>
    <x v="89"/>
    <s v="P107"/>
    <x v="0"/>
    <x v="0"/>
    <x v="2"/>
    <x v="2"/>
    <n v="9"/>
    <n v="3500"/>
    <n v="5"/>
    <n v="29925"/>
    <n v="22050"/>
    <n v="7875"/>
    <x v="0"/>
    <s v="Returned"/>
    <x v="10"/>
    <s v="Q2"/>
    <n v="2025"/>
    <n v="0.26315789473684209"/>
  </r>
  <r>
    <x v="317"/>
    <x v="204"/>
    <x v="1"/>
    <x v="69"/>
    <s v="P101"/>
    <x v="2"/>
    <x v="0"/>
    <x v="1"/>
    <x v="2"/>
    <n v="4"/>
    <n v="55000"/>
    <n v="10"/>
    <n v="198000"/>
    <n v="154000"/>
    <n v="44000"/>
    <x v="0"/>
    <s v="Delivered"/>
    <x v="7"/>
    <s v="Q1"/>
    <n v="2025"/>
    <n v="0.22222222222222221"/>
  </r>
  <r>
    <x v="318"/>
    <x v="205"/>
    <x v="80"/>
    <x v="57"/>
    <s v="P104"/>
    <x v="7"/>
    <x v="2"/>
    <x v="3"/>
    <x v="0"/>
    <n v="7"/>
    <n v="4500"/>
    <n v="15"/>
    <n v="26775"/>
    <n v="22050"/>
    <n v="4725"/>
    <x v="1"/>
    <s v="Pending"/>
    <x v="8"/>
    <s v="Q3"/>
    <n v="2025"/>
    <n v="0.17647058823529413"/>
  </r>
  <r>
    <x v="319"/>
    <x v="206"/>
    <x v="3"/>
    <x v="16"/>
    <s v="P108"/>
    <x v="4"/>
    <x v="1"/>
    <x v="0"/>
    <x v="2"/>
    <n v="6"/>
    <n v="3200"/>
    <n v="15"/>
    <n v="16320"/>
    <n v="13440"/>
    <n v="2880"/>
    <x v="0"/>
    <s v="Pending"/>
    <x v="6"/>
    <s v="Q2"/>
    <n v="2025"/>
    <n v="0.17647058823529413"/>
  </r>
  <r>
    <x v="320"/>
    <x v="176"/>
    <x v="42"/>
    <x v="89"/>
    <s v="P103"/>
    <x v="6"/>
    <x v="0"/>
    <x v="2"/>
    <x v="4"/>
    <n v="10"/>
    <n v="1500"/>
    <n v="5"/>
    <n v="14250"/>
    <n v="10500"/>
    <n v="3750"/>
    <x v="1"/>
    <s v="Returned"/>
    <x v="0"/>
    <s v="Q4"/>
    <n v="2025"/>
    <n v="0.26315789473684209"/>
  </r>
  <r>
    <x v="321"/>
    <x v="176"/>
    <x v="15"/>
    <x v="15"/>
    <s v="P103"/>
    <x v="6"/>
    <x v="0"/>
    <x v="3"/>
    <x v="3"/>
    <n v="7"/>
    <n v="1500"/>
    <n v="15"/>
    <n v="8925"/>
    <n v="7349.9999999999991"/>
    <n v="1575.0000000000009"/>
    <x v="3"/>
    <s v="Returned"/>
    <x v="0"/>
    <s v="Q4"/>
    <n v="2025"/>
    <n v="0.17647058823529421"/>
  </r>
  <r>
    <x v="322"/>
    <x v="207"/>
    <x v="59"/>
    <x v="83"/>
    <s v="P104"/>
    <x v="7"/>
    <x v="2"/>
    <x v="1"/>
    <x v="1"/>
    <n v="9"/>
    <n v="4500"/>
    <n v="0"/>
    <n v="40500"/>
    <n v="28350"/>
    <n v="12150"/>
    <x v="3"/>
    <s v="Pending"/>
    <x v="1"/>
    <s v="Q4"/>
    <n v="2025"/>
    <n v="0.3"/>
  </r>
  <r>
    <x v="323"/>
    <x v="96"/>
    <x v="76"/>
    <x v="51"/>
    <s v="P106"/>
    <x v="3"/>
    <x v="0"/>
    <x v="2"/>
    <x v="1"/>
    <n v="4"/>
    <n v="9500"/>
    <n v="10"/>
    <n v="34200"/>
    <n v="26600"/>
    <n v="7600"/>
    <x v="1"/>
    <s v="Delivered"/>
    <x v="10"/>
    <s v="Q2"/>
    <n v="2025"/>
    <n v="0.22222222222222221"/>
  </r>
  <r>
    <x v="324"/>
    <x v="94"/>
    <x v="80"/>
    <x v="61"/>
    <s v="P105"/>
    <x v="5"/>
    <x v="2"/>
    <x v="0"/>
    <x v="5"/>
    <n v="8"/>
    <n v="8500"/>
    <n v="15"/>
    <n v="57800"/>
    <n v="47600"/>
    <n v="10200"/>
    <x v="0"/>
    <s v="Delivered"/>
    <x v="10"/>
    <s v="Q2"/>
    <n v="2025"/>
    <n v="0.17647058823529413"/>
  </r>
  <r>
    <x v="325"/>
    <x v="34"/>
    <x v="17"/>
    <x v="88"/>
    <s v="P106"/>
    <x v="3"/>
    <x v="0"/>
    <x v="2"/>
    <x v="5"/>
    <n v="9"/>
    <n v="9500"/>
    <n v="15"/>
    <n v="72675"/>
    <n v="59849.999999999993"/>
    <n v="12825.000000000009"/>
    <x v="0"/>
    <s v="Returned"/>
    <x v="2"/>
    <s v="Q2"/>
    <n v="2025"/>
    <n v="0.17647058823529424"/>
  </r>
  <r>
    <x v="326"/>
    <x v="135"/>
    <x v="51"/>
    <x v="53"/>
    <s v="P108"/>
    <x v="4"/>
    <x v="1"/>
    <x v="2"/>
    <x v="1"/>
    <n v="9"/>
    <n v="3200"/>
    <n v="15"/>
    <n v="24480"/>
    <n v="20160"/>
    <n v="4320"/>
    <x v="1"/>
    <s v="Returned"/>
    <x v="7"/>
    <s v="Q1"/>
    <n v="2025"/>
    <n v="0.17647058823529413"/>
  </r>
  <r>
    <x v="327"/>
    <x v="125"/>
    <x v="30"/>
    <x v="33"/>
    <s v="P103"/>
    <x v="6"/>
    <x v="0"/>
    <x v="1"/>
    <x v="3"/>
    <n v="3"/>
    <n v="1500"/>
    <n v="15"/>
    <n v="3825"/>
    <n v="3150"/>
    <n v="675"/>
    <x v="1"/>
    <s v="Delivered"/>
    <x v="5"/>
    <s v="Q3"/>
    <n v="2025"/>
    <n v="0.17647058823529413"/>
  </r>
  <r>
    <x v="328"/>
    <x v="208"/>
    <x v="78"/>
    <x v="11"/>
    <s v="P103"/>
    <x v="6"/>
    <x v="0"/>
    <x v="1"/>
    <x v="2"/>
    <n v="8"/>
    <n v="1500"/>
    <n v="5"/>
    <n v="11400"/>
    <n v="8400"/>
    <n v="3000"/>
    <x v="2"/>
    <s v="Delivered"/>
    <x v="1"/>
    <s v="Q4"/>
    <n v="2025"/>
    <n v="0.26315789473684209"/>
  </r>
  <r>
    <x v="329"/>
    <x v="209"/>
    <x v="7"/>
    <x v="8"/>
    <s v="P102"/>
    <x v="1"/>
    <x v="0"/>
    <x v="1"/>
    <x v="2"/>
    <n v="6"/>
    <n v="800"/>
    <n v="5"/>
    <n v="4560"/>
    <n v="3360"/>
    <n v="1200"/>
    <x v="2"/>
    <s v="Returned"/>
    <x v="6"/>
    <s v="Q2"/>
    <n v="2025"/>
    <n v="0.26315789473684209"/>
  </r>
  <r>
    <x v="330"/>
    <x v="209"/>
    <x v="3"/>
    <x v="38"/>
    <s v="P101"/>
    <x v="2"/>
    <x v="0"/>
    <x v="1"/>
    <x v="2"/>
    <n v="6"/>
    <n v="55000"/>
    <n v="10"/>
    <n v="297000"/>
    <n v="231000"/>
    <n v="66000.000000000029"/>
    <x v="3"/>
    <s v="Pending"/>
    <x v="6"/>
    <s v="Q2"/>
    <n v="2025"/>
    <n v="0.22222222222222232"/>
  </r>
  <r>
    <x v="331"/>
    <x v="148"/>
    <x v="83"/>
    <x v="65"/>
    <s v="P107"/>
    <x v="0"/>
    <x v="0"/>
    <x v="0"/>
    <x v="4"/>
    <n v="4"/>
    <n v="3500"/>
    <n v="5"/>
    <n v="13300"/>
    <n v="9800"/>
    <n v="3500"/>
    <x v="2"/>
    <s v="Returned"/>
    <x v="4"/>
    <s v="Q4"/>
    <n v="2025"/>
    <n v="0.26315789473684209"/>
  </r>
  <r>
    <x v="332"/>
    <x v="210"/>
    <x v="10"/>
    <x v="70"/>
    <s v="P107"/>
    <x v="0"/>
    <x v="0"/>
    <x v="1"/>
    <x v="5"/>
    <n v="8"/>
    <n v="3500"/>
    <n v="5"/>
    <n v="26600"/>
    <n v="19600"/>
    <n v="7000"/>
    <x v="2"/>
    <s v="Pending"/>
    <x v="3"/>
    <s v="Q1"/>
    <n v="2025"/>
    <n v="0.26315789473684209"/>
  </r>
  <r>
    <x v="333"/>
    <x v="211"/>
    <x v="13"/>
    <x v="42"/>
    <s v="P108"/>
    <x v="4"/>
    <x v="1"/>
    <x v="2"/>
    <x v="2"/>
    <n v="4"/>
    <n v="3200"/>
    <n v="15"/>
    <n v="10880"/>
    <n v="8960"/>
    <n v="1920"/>
    <x v="2"/>
    <s v="Delivered"/>
    <x v="9"/>
    <s v="Q1"/>
    <n v="2025"/>
    <n v="0.17647058823529413"/>
  </r>
  <r>
    <x v="334"/>
    <x v="212"/>
    <x v="0"/>
    <x v="58"/>
    <s v="P108"/>
    <x v="4"/>
    <x v="1"/>
    <x v="1"/>
    <x v="0"/>
    <n v="5"/>
    <n v="3200"/>
    <n v="5"/>
    <n v="15200"/>
    <n v="11200"/>
    <n v="4000"/>
    <x v="1"/>
    <s v="Delivered"/>
    <x v="9"/>
    <s v="Q1"/>
    <n v="2025"/>
    <n v="0.26315789473684209"/>
  </r>
  <r>
    <x v="335"/>
    <x v="213"/>
    <x v="62"/>
    <x v="56"/>
    <s v="P105"/>
    <x v="5"/>
    <x v="2"/>
    <x v="0"/>
    <x v="3"/>
    <n v="8"/>
    <n v="8500"/>
    <n v="20"/>
    <n v="54400"/>
    <n v="47600"/>
    <n v="6800"/>
    <x v="2"/>
    <s v="Delivered"/>
    <x v="0"/>
    <s v="Q4"/>
    <n v="2025"/>
    <n v="0.125"/>
  </r>
  <r>
    <x v="336"/>
    <x v="214"/>
    <x v="51"/>
    <x v="76"/>
    <s v="P101"/>
    <x v="2"/>
    <x v="0"/>
    <x v="0"/>
    <x v="3"/>
    <n v="10"/>
    <n v="55000"/>
    <n v="0"/>
    <n v="550000"/>
    <n v="385000"/>
    <n v="165000"/>
    <x v="2"/>
    <s v="Delivered"/>
    <x v="4"/>
    <s v="Q4"/>
    <n v="2025"/>
    <n v="0.3"/>
  </r>
  <r>
    <x v="337"/>
    <x v="54"/>
    <x v="39"/>
    <x v="27"/>
    <s v="P105"/>
    <x v="5"/>
    <x v="2"/>
    <x v="1"/>
    <x v="5"/>
    <n v="5"/>
    <n v="8500"/>
    <n v="10"/>
    <n v="38250"/>
    <n v="29750"/>
    <n v="8500.0000000000036"/>
    <x v="0"/>
    <s v="Delivered"/>
    <x v="10"/>
    <s v="Q2"/>
    <n v="2025"/>
    <n v="0.22222222222222232"/>
  </r>
  <r>
    <x v="338"/>
    <x v="96"/>
    <x v="57"/>
    <x v="81"/>
    <s v="P105"/>
    <x v="5"/>
    <x v="2"/>
    <x v="0"/>
    <x v="2"/>
    <n v="2"/>
    <n v="8500"/>
    <n v="10"/>
    <n v="15300"/>
    <n v="11900"/>
    <n v="3400"/>
    <x v="1"/>
    <s v="Delivered"/>
    <x v="10"/>
    <s v="Q2"/>
    <n v="2025"/>
    <n v="0.22222222222222221"/>
  </r>
  <r>
    <x v="339"/>
    <x v="215"/>
    <x v="87"/>
    <x v="21"/>
    <s v="P108"/>
    <x v="4"/>
    <x v="1"/>
    <x v="3"/>
    <x v="4"/>
    <n v="8"/>
    <n v="3200"/>
    <n v="15"/>
    <n v="21760"/>
    <n v="17920"/>
    <n v="3840"/>
    <x v="0"/>
    <s v="Delivered"/>
    <x v="4"/>
    <s v="Q4"/>
    <n v="2025"/>
    <n v="0.17647058823529413"/>
  </r>
  <r>
    <x v="340"/>
    <x v="46"/>
    <x v="22"/>
    <x v="29"/>
    <s v="P108"/>
    <x v="4"/>
    <x v="1"/>
    <x v="1"/>
    <x v="0"/>
    <n v="4"/>
    <n v="3200"/>
    <n v="0"/>
    <n v="12800"/>
    <n v="8960"/>
    <n v="3840"/>
    <x v="1"/>
    <s v="Returned"/>
    <x v="9"/>
    <s v="Q1"/>
    <n v="2025"/>
    <n v="0.3"/>
  </r>
  <r>
    <x v="341"/>
    <x v="216"/>
    <x v="53"/>
    <x v="58"/>
    <s v="P102"/>
    <x v="1"/>
    <x v="0"/>
    <x v="1"/>
    <x v="5"/>
    <n v="6"/>
    <n v="800"/>
    <n v="10"/>
    <n v="4320"/>
    <n v="3360"/>
    <n v="960"/>
    <x v="3"/>
    <s v="Pending"/>
    <x v="8"/>
    <s v="Q3"/>
    <n v="2025"/>
    <n v="0.22222222222222221"/>
  </r>
  <r>
    <x v="342"/>
    <x v="217"/>
    <x v="45"/>
    <x v="58"/>
    <s v="P103"/>
    <x v="6"/>
    <x v="0"/>
    <x v="2"/>
    <x v="3"/>
    <n v="10"/>
    <n v="1500"/>
    <n v="15"/>
    <n v="12750"/>
    <n v="10500"/>
    <n v="2250"/>
    <x v="0"/>
    <s v="Delivered"/>
    <x v="8"/>
    <s v="Q3"/>
    <n v="2025"/>
    <n v="0.17647058823529413"/>
  </r>
  <r>
    <x v="343"/>
    <x v="185"/>
    <x v="49"/>
    <x v="75"/>
    <s v="P108"/>
    <x v="4"/>
    <x v="1"/>
    <x v="1"/>
    <x v="4"/>
    <n v="6"/>
    <n v="3200"/>
    <n v="0"/>
    <n v="19200"/>
    <n v="13440"/>
    <n v="5760"/>
    <x v="1"/>
    <s v="Pending"/>
    <x v="1"/>
    <s v="Q4"/>
    <n v="2025"/>
    <n v="0.3"/>
  </r>
  <r>
    <x v="344"/>
    <x v="189"/>
    <x v="67"/>
    <x v="38"/>
    <s v="P107"/>
    <x v="0"/>
    <x v="0"/>
    <x v="0"/>
    <x v="0"/>
    <n v="9"/>
    <n v="3500"/>
    <n v="0"/>
    <n v="31500"/>
    <n v="22050"/>
    <n v="9450"/>
    <x v="2"/>
    <s v="Pending"/>
    <x v="5"/>
    <s v="Q3"/>
    <n v="2025"/>
    <n v="0.3"/>
  </r>
  <r>
    <x v="345"/>
    <x v="218"/>
    <x v="9"/>
    <x v="1"/>
    <s v="P108"/>
    <x v="4"/>
    <x v="1"/>
    <x v="0"/>
    <x v="5"/>
    <n v="3"/>
    <n v="3200"/>
    <n v="15"/>
    <n v="8160"/>
    <n v="6720"/>
    <n v="1440"/>
    <x v="0"/>
    <s v="Delivered"/>
    <x v="10"/>
    <s v="Q2"/>
    <n v="2025"/>
    <n v="0.17647058823529413"/>
  </r>
  <r>
    <x v="346"/>
    <x v="219"/>
    <x v="87"/>
    <x v="35"/>
    <s v="P106"/>
    <x v="3"/>
    <x v="0"/>
    <x v="2"/>
    <x v="3"/>
    <n v="4"/>
    <n v="9500"/>
    <n v="10"/>
    <n v="34200"/>
    <n v="26600"/>
    <n v="7600"/>
    <x v="2"/>
    <s v="Pending"/>
    <x v="0"/>
    <s v="Q4"/>
    <n v="2025"/>
    <n v="0.22222222222222221"/>
  </r>
  <r>
    <x v="347"/>
    <x v="183"/>
    <x v="39"/>
    <x v="82"/>
    <s v="P105"/>
    <x v="5"/>
    <x v="2"/>
    <x v="2"/>
    <x v="1"/>
    <n v="2"/>
    <n v="8500"/>
    <n v="5"/>
    <n v="16150"/>
    <n v="11900"/>
    <n v="4250"/>
    <x v="2"/>
    <s v="Delivered"/>
    <x v="1"/>
    <s v="Q4"/>
    <n v="2025"/>
    <n v="0.26315789473684209"/>
  </r>
  <r>
    <x v="348"/>
    <x v="195"/>
    <x v="91"/>
    <x v="82"/>
    <s v="P106"/>
    <x v="3"/>
    <x v="0"/>
    <x v="0"/>
    <x v="3"/>
    <n v="2"/>
    <n v="9500"/>
    <n v="0"/>
    <n v="19000"/>
    <n v="13300"/>
    <n v="5700"/>
    <x v="3"/>
    <s v="Returned"/>
    <x v="9"/>
    <s v="Q1"/>
    <n v="2025"/>
    <n v="0.3"/>
  </r>
  <r>
    <x v="349"/>
    <x v="220"/>
    <x v="36"/>
    <x v="37"/>
    <s v="P103"/>
    <x v="6"/>
    <x v="0"/>
    <x v="1"/>
    <x v="0"/>
    <n v="10"/>
    <n v="1500"/>
    <n v="10"/>
    <n v="13500"/>
    <n v="10500"/>
    <n v="3000"/>
    <x v="1"/>
    <s v="Pending"/>
    <x v="7"/>
    <s v="Q1"/>
    <n v="2025"/>
    <n v="0.22222222222222221"/>
  </r>
  <r>
    <x v="350"/>
    <x v="221"/>
    <x v="45"/>
    <x v="41"/>
    <s v="P102"/>
    <x v="1"/>
    <x v="0"/>
    <x v="2"/>
    <x v="5"/>
    <n v="4"/>
    <n v="800"/>
    <n v="20"/>
    <n v="2560"/>
    <n v="2240"/>
    <n v="320"/>
    <x v="1"/>
    <s v="Delivered"/>
    <x v="8"/>
    <s v="Q3"/>
    <n v="2025"/>
    <n v="0.125"/>
  </r>
  <r>
    <x v="351"/>
    <x v="100"/>
    <x v="47"/>
    <x v="84"/>
    <s v="P106"/>
    <x v="3"/>
    <x v="0"/>
    <x v="0"/>
    <x v="1"/>
    <n v="7"/>
    <n v="9500"/>
    <n v="5"/>
    <n v="63175"/>
    <n v="46550"/>
    <n v="16625"/>
    <x v="0"/>
    <s v="Returned"/>
    <x v="3"/>
    <s v="Q1"/>
    <n v="2025"/>
    <n v="0.26315789473684209"/>
  </r>
  <r>
    <x v="352"/>
    <x v="64"/>
    <x v="90"/>
    <x v="7"/>
    <s v="P107"/>
    <x v="0"/>
    <x v="0"/>
    <x v="1"/>
    <x v="2"/>
    <n v="2"/>
    <n v="3500"/>
    <n v="5"/>
    <n v="6650"/>
    <n v="4900"/>
    <n v="1750"/>
    <x v="1"/>
    <s v="Returned"/>
    <x v="6"/>
    <s v="Q2"/>
    <n v="2025"/>
    <n v="0.26315789473684209"/>
  </r>
  <r>
    <x v="353"/>
    <x v="202"/>
    <x v="82"/>
    <x v="10"/>
    <s v="P102"/>
    <x v="1"/>
    <x v="0"/>
    <x v="3"/>
    <x v="0"/>
    <n v="3"/>
    <n v="800"/>
    <n v="5"/>
    <n v="2280"/>
    <n v="1680"/>
    <n v="600"/>
    <x v="1"/>
    <s v="Returned"/>
    <x v="9"/>
    <s v="Q1"/>
    <n v="2025"/>
    <n v="0.26315789473684209"/>
  </r>
  <r>
    <x v="354"/>
    <x v="63"/>
    <x v="47"/>
    <x v="73"/>
    <s v="P101"/>
    <x v="2"/>
    <x v="0"/>
    <x v="1"/>
    <x v="0"/>
    <n v="10"/>
    <n v="55000"/>
    <n v="20"/>
    <n v="440000"/>
    <n v="385000"/>
    <n v="55000"/>
    <x v="1"/>
    <s v="Delivered"/>
    <x v="6"/>
    <s v="Q2"/>
    <n v="2025"/>
    <n v="0.125"/>
  </r>
  <r>
    <x v="355"/>
    <x v="222"/>
    <x v="43"/>
    <x v="23"/>
    <s v="P101"/>
    <x v="2"/>
    <x v="0"/>
    <x v="1"/>
    <x v="5"/>
    <n v="7"/>
    <n v="55000"/>
    <n v="5"/>
    <n v="365750"/>
    <n v="269500"/>
    <n v="96250"/>
    <x v="1"/>
    <s v="Pending"/>
    <x v="0"/>
    <s v="Q4"/>
    <n v="2025"/>
    <n v="0.26315789473684209"/>
  </r>
  <r>
    <x v="356"/>
    <x v="193"/>
    <x v="42"/>
    <x v="49"/>
    <s v="P101"/>
    <x v="2"/>
    <x v="0"/>
    <x v="2"/>
    <x v="2"/>
    <n v="2"/>
    <n v="55000"/>
    <n v="5"/>
    <n v="104500"/>
    <n v="77000"/>
    <n v="27500"/>
    <x v="0"/>
    <s v="Returned"/>
    <x v="6"/>
    <s v="Q2"/>
    <n v="2025"/>
    <n v="0.26315789473684209"/>
  </r>
  <r>
    <x v="357"/>
    <x v="223"/>
    <x v="71"/>
    <x v="38"/>
    <s v="P104"/>
    <x v="7"/>
    <x v="2"/>
    <x v="1"/>
    <x v="0"/>
    <n v="9"/>
    <n v="4500"/>
    <n v="10"/>
    <n v="36450"/>
    <n v="28350"/>
    <n v="8100"/>
    <x v="3"/>
    <s v="Returned"/>
    <x v="10"/>
    <s v="Q2"/>
    <n v="2025"/>
    <n v="0.22222222222222221"/>
  </r>
  <r>
    <x v="358"/>
    <x v="157"/>
    <x v="51"/>
    <x v="52"/>
    <s v="P103"/>
    <x v="6"/>
    <x v="0"/>
    <x v="2"/>
    <x v="5"/>
    <n v="1"/>
    <n v="1500"/>
    <n v="5"/>
    <n v="1425"/>
    <n v="1050"/>
    <n v="375"/>
    <x v="1"/>
    <s v="Returned"/>
    <x v="6"/>
    <s v="Q2"/>
    <n v="2025"/>
    <n v="0.26315789473684209"/>
  </r>
  <r>
    <x v="359"/>
    <x v="224"/>
    <x v="0"/>
    <x v="38"/>
    <s v="P101"/>
    <x v="2"/>
    <x v="0"/>
    <x v="2"/>
    <x v="4"/>
    <n v="7"/>
    <n v="55000"/>
    <n v="0"/>
    <n v="385000"/>
    <n v="269500"/>
    <n v="115500"/>
    <x v="2"/>
    <s v="Pending"/>
    <x v="10"/>
    <s v="Q2"/>
    <n v="2025"/>
    <n v="0.3"/>
  </r>
  <r>
    <x v="360"/>
    <x v="166"/>
    <x v="27"/>
    <x v="78"/>
    <s v="P107"/>
    <x v="0"/>
    <x v="0"/>
    <x v="1"/>
    <x v="1"/>
    <n v="1"/>
    <n v="3500"/>
    <n v="15"/>
    <n v="2975"/>
    <n v="2450"/>
    <n v="525"/>
    <x v="2"/>
    <s v="Delivered"/>
    <x v="5"/>
    <s v="Q3"/>
    <n v="2025"/>
    <n v="0.17647058823529413"/>
  </r>
  <r>
    <x v="361"/>
    <x v="83"/>
    <x v="80"/>
    <x v="8"/>
    <s v="P107"/>
    <x v="0"/>
    <x v="0"/>
    <x v="0"/>
    <x v="5"/>
    <n v="4"/>
    <n v="3500"/>
    <n v="20"/>
    <n v="11200"/>
    <n v="9800"/>
    <n v="1400"/>
    <x v="1"/>
    <s v="Pending"/>
    <x v="9"/>
    <s v="Q1"/>
    <n v="2025"/>
    <n v="0.125"/>
  </r>
  <r>
    <x v="362"/>
    <x v="148"/>
    <x v="17"/>
    <x v="22"/>
    <s v="P102"/>
    <x v="1"/>
    <x v="0"/>
    <x v="0"/>
    <x v="4"/>
    <n v="1"/>
    <n v="800"/>
    <n v="15"/>
    <n v="680"/>
    <n v="560"/>
    <n v="120"/>
    <x v="3"/>
    <s v="Pending"/>
    <x v="4"/>
    <s v="Q4"/>
    <n v="2025"/>
    <n v="0.17647058823529413"/>
  </r>
  <r>
    <x v="363"/>
    <x v="225"/>
    <x v="1"/>
    <x v="93"/>
    <s v="P108"/>
    <x v="4"/>
    <x v="1"/>
    <x v="0"/>
    <x v="3"/>
    <n v="10"/>
    <n v="3200"/>
    <n v="15"/>
    <n v="27200"/>
    <n v="22400"/>
    <n v="4800"/>
    <x v="2"/>
    <s v="Delivered"/>
    <x v="0"/>
    <s v="Q4"/>
    <n v="2025"/>
    <n v="0.17647058823529413"/>
  </r>
  <r>
    <x v="364"/>
    <x v="226"/>
    <x v="45"/>
    <x v="19"/>
    <s v="P101"/>
    <x v="2"/>
    <x v="0"/>
    <x v="0"/>
    <x v="3"/>
    <n v="8"/>
    <n v="55000"/>
    <n v="10"/>
    <n v="396000"/>
    <n v="308000"/>
    <n v="88000"/>
    <x v="2"/>
    <s v="Pending"/>
    <x v="2"/>
    <s v="Q2"/>
    <n v="2025"/>
    <n v="0.22222222222222221"/>
  </r>
  <r>
    <x v="365"/>
    <x v="227"/>
    <x v="71"/>
    <x v="19"/>
    <s v="P108"/>
    <x v="4"/>
    <x v="1"/>
    <x v="1"/>
    <x v="2"/>
    <n v="9"/>
    <n v="3200"/>
    <n v="0"/>
    <n v="28800"/>
    <n v="20160"/>
    <n v="8640"/>
    <x v="1"/>
    <s v="Delivered"/>
    <x v="11"/>
    <s v="Q3"/>
    <n v="2025"/>
    <n v="0.3"/>
  </r>
  <r>
    <x v="366"/>
    <x v="93"/>
    <x v="24"/>
    <x v="15"/>
    <s v="P101"/>
    <x v="2"/>
    <x v="0"/>
    <x v="2"/>
    <x v="2"/>
    <n v="10"/>
    <n v="55000"/>
    <n v="10"/>
    <n v="495000"/>
    <n v="385000"/>
    <n v="110000"/>
    <x v="1"/>
    <s v="Returned"/>
    <x v="5"/>
    <s v="Q3"/>
    <n v="2025"/>
    <n v="0.22222222222222221"/>
  </r>
  <r>
    <x v="367"/>
    <x v="206"/>
    <x v="37"/>
    <x v="31"/>
    <s v="P108"/>
    <x v="4"/>
    <x v="1"/>
    <x v="0"/>
    <x v="5"/>
    <n v="3"/>
    <n v="3200"/>
    <n v="15"/>
    <n v="8160"/>
    <n v="6720"/>
    <n v="1440"/>
    <x v="1"/>
    <s v="Delivered"/>
    <x v="6"/>
    <s v="Q2"/>
    <n v="2025"/>
    <n v="0.17647058823529413"/>
  </r>
  <r>
    <x v="368"/>
    <x v="38"/>
    <x v="51"/>
    <x v="81"/>
    <s v="P102"/>
    <x v="1"/>
    <x v="0"/>
    <x v="2"/>
    <x v="3"/>
    <n v="3"/>
    <n v="800"/>
    <n v="0"/>
    <n v="2400"/>
    <n v="1680"/>
    <n v="720"/>
    <x v="0"/>
    <s v="Delivered"/>
    <x v="4"/>
    <s v="Q4"/>
    <n v="2025"/>
    <n v="0.3"/>
  </r>
  <r>
    <x v="369"/>
    <x v="57"/>
    <x v="96"/>
    <x v="40"/>
    <s v="P108"/>
    <x v="4"/>
    <x v="1"/>
    <x v="3"/>
    <x v="2"/>
    <n v="7"/>
    <n v="3200"/>
    <n v="5"/>
    <n v="21280"/>
    <n v="15680"/>
    <n v="5600.0000000000018"/>
    <x v="3"/>
    <s v="Delivered"/>
    <x v="11"/>
    <s v="Q3"/>
    <n v="2025"/>
    <n v="0.2631578947368422"/>
  </r>
  <r>
    <x v="370"/>
    <x v="148"/>
    <x v="12"/>
    <x v="43"/>
    <s v="P108"/>
    <x v="4"/>
    <x v="1"/>
    <x v="0"/>
    <x v="2"/>
    <n v="4"/>
    <n v="3200"/>
    <n v="20"/>
    <n v="10240"/>
    <n v="8960"/>
    <n v="1280"/>
    <x v="1"/>
    <s v="Returned"/>
    <x v="4"/>
    <s v="Q4"/>
    <n v="2025"/>
    <n v="0.125"/>
  </r>
  <r>
    <x v="371"/>
    <x v="217"/>
    <x v="78"/>
    <x v="53"/>
    <s v="P102"/>
    <x v="1"/>
    <x v="0"/>
    <x v="0"/>
    <x v="5"/>
    <n v="8"/>
    <n v="800"/>
    <n v="5"/>
    <n v="6080"/>
    <n v="4480"/>
    <n v="1600"/>
    <x v="3"/>
    <s v="Returned"/>
    <x v="8"/>
    <s v="Q3"/>
    <n v="2025"/>
    <n v="0.26315789473684209"/>
  </r>
  <r>
    <x v="372"/>
    <x v="152"/>
    <x v="18"/>
    <x v="27"/>
    <s v="P107"/>
    <x v="0"/>
    <x v="0"/>
    <x v="1"/>
    <x v="3"/>
    <n v="7"/>
    <n v="3500"/>
    <n v="15"/>
    <n v="20825"/>
    <n v="17150"/>
    <n v="3675"/>
    <x v="0"/>
    <s v="Returned"/>
    <x v="11"/>
    <s v="Q3"/>
    <n v="2025"/>
    <n v="0.17647058823529413"/>
  </r>
  <r>
    <x v="373"/>
    <x v="129"/>
    <x v="47"/>
    <x v="79"/>
    <s v="P105"/>
    <x v="5"/>
    <x v="2"/>
    <x v="2"/>
    <x v="0"/>
    <n v="10"/>
    <n v="8500"/>
    <n v="15"/>
    <n v="72250"/>
    <n v="59499.999999999993"/>
    <n v="12750.000000000009"/>
    <x v="3"/>
    <s v="Delivered"/>
    <x v="7"/>
    <s v="Q1"/>
    <n v="2025"/>
    <n v="0.17647058823529424"/>
  </r>
  <r>
    <x v="374"/>
    <x v="110"/>
    <x v="28"/>
    <x v="78"/>
    <s v="P103"/>
    <x v="6"/>
    <x v="0"/>
    <x v="3"/>
    <x v="2"/>
    <n v="1"/>
    <n v="1500"/>
    <n v="0"/>
    <n v="1500"/>
    <n v="1050"/>
    <n v="450"/>
    <x v="0"/>
    <s v="Pending"/>
    <x v="10"/>
    <s v="Q2"/>
    <n v="2025"/>
    <n v="0.3"/>
  </r>
  <r>
    <x v="375"/>
    <x v="228"/>
    <x v="53"/>
    <x v="34"/>
    <s v="P107"/>
    <x v="0"/>
    <x v="0"/>
    <x v="3"/>
    <x v="2"/>
    <n v="1"/>
    <n v="3500"/>
    <n v="0"/>
    <n v="3500"/>
    <n v="2450"/>
    <n v="1050"/>
    <x v="2"/>
    <s v="Pending"/>
    <x v="1"/>
    <s v="Q4"/>
    <n v="2025"/>
    <n v="0.3"/>
  </r>
  <r>
    <x v="376"/>
    <x v="229"/>
    <x v="44"/>
    <x v="19"/>
    <s v="P108"/>
    <x v="4"/>
    <x v="1"/>
    <x v="2"/>
    <x v="0"/>
    <n v="2"/>
    <n v="3200"/>
    <n v="0"/>
    <n v="6400"/>
    <n v="4480"/>
    <n v="1920"/>
    <x v="2"/>
    <s v="Delivered"/>
    <x v="8"/>
    <s v="Q3"/>
    <n v="2025"/>
    <n v="0.3"/>
  </r>
  <r>
    <x v="377"/>
    <x v="96"/>
    <x v="11"/>
    <x v="63"/>
    <s v="P102"/>
    <x v="1"/>
    <x v="0"/>
    <x v="3"/>
    <x v="0"/>
    <n v="2"/>
    <n v="800"/>
    <n v="10"/>
    <n v="1440"/>
    <n v="1120"/>
    <n v="320"/>
    <x v="2"/>
    <s v="Returned"/>
    <x v="10"/>
    <s v="Q2"/>
    <n v="2025"/>
    <n v="0.22222222222222221"/>
  </r>
  <r>
    <x v="378"/>
    <x v="230"/>
    <x v="97"/>
    <x v="62"/>
    <s v="P102"/>
    <x v="1"/>
    <x v="0"/>
    <x v="2"/>
    <x v="3"/>
    <n v="8"/>
    <n v="800"/>
    <n v="10"/>
    <n v="5760"/>
    <n v="4480"/>
    <n v="1280"/>
    <x v="3"/>
    <s v="Delivered"/>
    <x v="3"/>
    <s v="Q1"/>
    <n v="2025"/>
    <n v="0.22222222222222221"/>
  </r>
  <r>
    <x v="379"/>
    <x v="231"/>
    <x v="81"/>
    <x v="54"/>
    <s v="P107"/>
    <x v="0"/>
    <x v="0"/>
    <x v="3"/>
    <x v="5"/>
    <n v="3"/>
    <n v="3500"/>
    <n v="5"/>
    <n v="9975"/>
    <n v="7349.9999999999991"/>
    <n v="2625.0000000000009"/>
    <x v="0"/>
    <s v="Pending"/>
    <x v="2"/>
    <s v="Q2"/>
    <n v="2025"/>
    <n v="0.2631578947368422"/>
  </r>
  <r>
    <x v="380"/>
    <x v="147"/>
    <x v="87"/>
    <x v="92"/>
    <s v="P102"/>
    <x v="1"/>
    <x v="0"/>
    <x v="0"/>
    <x v="2"/>
    <n v="7"/>
    <n v="800"/>
    <n v="0"/>
    <n v="5600"/>
    <n v="3920"/>
    <n v="1680"/>
    <x v="0"/>
    <s v="Returned"/>
    <x v="6"/>
    <s v="Q2"/>
    <n v="2025"/>
    <n v="0.3"/>
  </r>
  <r>
    <x v="381"/>
    <x v="103"/>
    <x v="91"/>
    <x v="68"/>
    <s v="P103"/>
    <x v="6"/>
    <x v="0"/>
    <x v="0"/>
    <x v="3"/>
    <n v="6"/>
    <n v="1500"/>
    <n v="15"/>
    <n v="7650"/>
    <n v="6300"/>
    <n v="1350"/>
    <x v="0"/>
    <s v="Pending"/>
    <x v="5"/>
    <s v="Q3"/>
    <n v="2025"/>
    <n v="0.17647058823529413"/>
  </r>
  <r>
    <x v="382"/>
    <x v="232"/>
    <x v="22"/>
    <x v="92"/>
    <s v="P107"/>
    <x v="0"/>
    <x v="0"/>
    <x v="2"/>
    <x v="2"/>
    <n v="10"/>
    <n v="3500"/>
    <n v="20"/>
    <n v="28000"/>
    <n v="24500"/>
    <n v="3500"/>
    <x v="3"/>
    <s v="Delivered"/>
    <x v="10"/>
    <s v="Q2"/>
    <n v="2025"/>
    <n v="0.125"/>
  </r>
  <r>
    <x v="383"/>
    <x v="68"/>
    <x v="11"/>
    <x v="93"/>
    <s v="P106"/>
    <x v="3"/>
    <x v="0"/>
    <x v="1"/>
    <x v="5"/>
    <n v="6"/>
    <n v="9500"/>
    <n v="20"/>
    <n v="45600"/>
    <n v="39900"/>
    <n v="5700"/>
    <x v="3"/>
    <s v="Pending"/>
    <x v="5"/>
    <s v="Q3"/>
    <n v="2025"/>
    <n v="0.125"/>
  </r>
  <r>
    <x v="384"/>
    <x v="233"/>
    <x v="74"/>
    <x v="70"/>
    <s v="P105"/>
    <x v="5"/>
    <x v="2"/>
    <x v="0"/>
    <x v="3"/>
    <n v="8"/>
    <n v="8500"/>
    <n v="0"/>
    <n v="68000"/>
    <n v="47600"/>
    <n v="20400"/>
    <x v="2"/>
    <s v="Returned"/>
    <x v="4"/>
    <s v="Q4"/>
    <n v="2025"/>
    <n v="0.3"/>
  </r>
  <r>
    <x v="385"/>
    <x v="110"/>
    <x v="54"/>
    <x v="82"/>
    <s v="P108"/>
    <x v="4"/>
    <x v="1"/>
    <x v="0"/>
    <x v="4"/>
    <n v="3"/>
    <n v="3200"/>
    <n v="20"/>
    <n v="7680"/>
    <n v="6720"/>
    <n v="960"/>
    <x v="3"/>
    <s v="Delivered"/>
    <x v="10"/>
    <s v="Q2"/>
    <n v="2025"/>
    <n v="0.125"/>
  </r>
  <r>
    <x v="386"/>
    <x v="234"/>
    <x v="18"/>
    <x v="79"/>
    <s v="P106"/>
    <x v="3"/>
    <x v="0"/>
    <x v="1"/>
    <x v="0"/>
    <n v="4"/>
    <n v="9500"/>
    <n v="5"/>
    <n v="36100"/>
    <n v="26600"/>
    <n v="9500"/>
    <x v="3"/>
    <s v="Pending"/>
    <x v="6"/>
    <s v="Q2"/>
    <n v="2025"/>
    <n v="0.26315789473684209"/>
  </r>
  <r>
    <x v="387"/>
    <x v="18"/>
    <x v="11"/>
    <x v="9"/>
    <s v="P101"/>
    <x v="2"/>
    <x v="0"/>
    <x v="2"/>
    <x v="3"/>
    <n v="1"/>
    <n v="55000"/>
    <n v="0"/>
    <n v="55000"/>
    <n v="38500"/>
    <n v="16500"/>
    <x v="0"/>
    <s v="Returned"/>
    <x v="4"/>
    <s v="Q4"/>
    <n v="2025"/>
    <n v="0.3"/>
  </r>
  <r>
    <x v="388"/>
    <x v="235"/>
    <x v="98"/>
    <x v="15"/>
    <s v="P107"/>
    <x v="0"/>
    <x v="0"/>
    <x v="0"/>
    <x v="2"/>
    <n v="4"/>
    <n v="3500"/>
    <n v="10"/>
    <n v="12600"/>
    <n v="9800"/>
    <n v="2800"/>
    <x v="0"/>
    <s v="Delivered"/>
    <x v="4"/>
    <s v="Q4"/>
    <n v="2025"/>
    <n v="0.22222222222222221"/>
  </r>
  <r>
    <x v="389"/>
    <x v="167"/>
    <x v="86"/>
    <x v="37"/>
    <s v="P103"/>
    <x v="6"/>
    <x v="0"/>
    <x v="3"/>
    <x v="5"/>
    <n v="5"/>
    <n v="1500"/>
    <n v="5"/>
    <n v="7125"/>
    <n v="5250"/>
    <n v="1875"/>
    <x v="0"/>
    <s v="Returned"/>
    <x v="5"/>
    <s v="Q3"/>
    <n v="2025"/>
    <n v="0.26315789473684209"/>
  </r>
  <r>
    <x v="390"/>
    <x v="236"/>
    <x v="89"/>
    <x v="63"/>
    <s v="P107"/>
    <x v="0"/>
    <x v="0"/>
    <x v="2"/>
    <x v="5"/>
    <n v="8"/>
    <n v="3500"/>
    <n v="0"/>
    <n v="28000"/>
    <n v="19600"/>
    <n v="8400"/>
    <x v="2"/>
    <s v="Returned"/>
    <x v="11"/>
    <s v="Q3"/>
    <n v="2025"/>
    <n v="0.3"/>
  </r>
  <r>
    <x v="391"/>
    <x v="237"/>
    <x v="49"/>
    <x v="43"/>
    <s v="P102"/>
    <x v="1"/>
    <x v="0"/>
    <x v="0"/>
    <x v="3"/>
    <n v="7"/>
    <n v="800"/>
    <n v="20"/>
    <n v="4480"/>
    <n v="3920"/>
    <n v="560.00000000000045"/>
    <x v="2"/>
    <s v="Returned"/>
    <x v="2"/>
    <s v="Q2"/>
    <n v="2025"/>
    <n v="0.12500000000000011"/>
  </r>
  <r>
    <x v="392"/>
    <x v="238"/>
    <x v="10"/>
    <x v="24"/>
    <s v="P102"/>
    <x v="1"/>
    <x v="0"/>
    <x v="1"/>
    <x v="5"/>
    <n v="5"/>
    <n v="800"/>
    <n v="15"/>
    <n v="3400"/>
    <n v="2800"/>
    <n v="600"/>
    <x v="0"/>
    <s v="Delivered"/>
    <x v="2"/>
    <s v="Q2"/>
    <n v="2025"/>
    <n v="0.17647058823529413"/>
  </r>
  <r>
    <x v="393"/>
    <x v="239"/>
    <x v="32"/>
    <x v="37"/>
    <s v="P107"/>
    <x v="0"/>
    <x v="0"/>
    <x v="2"/>
    <x v="4"/>
    <n v="5"/>
    <n v="3500"/>
    <n v="10"/>
    <n v="15750"/>
    <n v="12250"/>
    <n v="3500"/>
    <x v="0"/>
    <s v="Delivered"/>
    <x v="6"/>
    <s v="Q2"/>
    <n v="2025"/>
    <n v="0.22222222222222221"/>
  </r>
  <r>
    <x v="394"/>
    <x v="134"/>
    <x v="92"/>
    <x v="68"/>
    <s v="P101"/>
    <x v="2"/>
    <x v="0"/>
    <x v="2"/>
    <x v="1"/>
    <n v="8"/>
    <n v="55000"/>
    <n v="15"/>
    <n v="374000"/>
    <n v="308000"/>
    <n v="66000"/>
    <x v="0"/>
    <s v="Returned"/>
    <x v="1"/>
    <s v="Q4"/>
    <n v="2025"/>
    <n v="0.17647058823529413"/>
  </r>
  <r>
    <x v="395"/>
    <x v="56"/>
    <x v="66"/>
    <x v="84"/>
    <s v="P105"/>
    <x v="5"/>
    <x v="2"/>
    <x v="3"/>
    <x v="5"/>
    <n v="1"/>
    <n v="8500"/>
    <n v="0"/>
    <n v="8500"/>
    <n v="5950"/>
    <n v="2550"/>
    <x v="2"/>
    <s v="Returned"/>
    <x v="7"/>
    <s v="Q1"/>
    <n v="2025"/>
    <n v="0.3"/>
  </r>
  <r>
    <x v="396"/>
    <x v="103"/>
    <x v="66"/>
    <x v="7"/>
    <s v="P101"/>
    <x v="2"/>
    <x v="0"/>
    <x v="2"/>
    <x v="1"/>
    <n v="4"/>
    <n v="55000"/>
    <n v="10"/>
    <n v="198000"/>
    <n v="154000"/>
    <n v="44000"/>
    <x v="2"/>
    <s v="Pending"/>
    <x v="5"/>
    <s v="Q3"/>
    <n v="2025"/>
    <n v="0.22222222222222221"/>
  </r>
  <r>
    <x v="397"/>
    <x v="240"/>
    <x v="24"/>
    <x v="16"/>
    <s v="P108"/>
    <x v="4"/>
    <x v="1"/>
    <x v="1"/>
    <x v="1"/>
    <n v="4"/>
    <n v="3200"/>
    <n v="0"/>
    <n v="12800"/>
    <n v="8960"/>
    <n v="3840"/>
    <x v="2"/>
    <s v="Returned"/>
    <x v="9"/>
    <s v="Q1"/>
    <n v="2025"/>
    <n v="0.3"/>
  </r>
  <r>
    <x v="398"/>
    <x v="91"/>
    <x v="8"/>
    <x v="48"/>
    <s v="P103"/>
    <x v="6"/>
    <x v="0"/>
    <x v="2"/>
    <x v="4"/>
    <n v="10"/>
    <n v="1500"/>
    <n v="10"/>
    <n v="13500"/>
    <n v="10500"/>
    <n v="3000"/>
    <x v="3"/>
    <s v="Delivered"/>
    <x v="7"/>
    <s v="Q1"/>
    <n v="2025"/>
    <n v="0.22222222222222221"/>
  </r>
  <r>
    <x v="399"/>
    <x v="218"/>
    <x v="66"/>
    <x v="28"/>
    <s v="P101"/>
    <x v="2"/>
    <x v="0"/>
    <x v="1"/>
    <x v="1"/>
    <n v="10"/>
    <n v="55000"/>
    <n v="10"/>
    <n v="495000"/>
    <n v="385000"/>
    <n v="110000"/>
    <x v="1"/>
    <s v="Delivered"/>
    <x v="10"/>
    <s v="Q2"/>
    <n v="2025"/>
    <n v="0.22222222222222221"/>
  </r>
  <r>
    <x v="400"/>
    <x v="210"/>
    <x v="92"/>
    <x v="91"/>
    <s v="P103"/>
    <x v="6"/>
    <x v="0"/>
    <x v="2"/>
    <x v="3"/>
    <n v="5"/>
    <n v="1500"/>
    <n v="10"/>
    <n v="6750"/>
    <n v="5250"/>
    <n v="1500"/>
    <x v="0"/>
    <s v="Delivered"/>
    <x v="3"/>
    <s v="Q1"/>
    <n v="2025"/>
    <n v="0.22222222222222221"/>
  </r>
  <r>
    <x v="401"/>
    <x v="184"/>
    <x v="19"/>
    <x v="71"/>
    <s v="P105"/>
    <x v="5"/>
    <x v="2"/>
    <x v="1"/>
    <x v="3"/>
    <n v="10"/>
    <n v="8500"/>
    <n v="20"/>
    <n v="68000"/>
    <n v="59499.999999999993"/>
    <n v="8500.0000000000073"/>
    <x v="2"/>
    <s v="Pending"/>
    <x v="3"/>
    <s v="Q1"/>
    <n v="2025"/>
    <n v="0.12500000000000011"/>
  </r>
  <r>
    <x v="402"/>
    <x v="241"/>
    <x v="73"/>
    <x v="16"/>
    <s v="P101"/>
    <x v="2"/>
    <x v="0"/>
    <x v="0"/>
    <x v="3"/>
    <n v="3"/>
    <n v="55000"/>
    <n v="20"/>
    <n v="132000"/>
    <n v="115500"/>
    <n v="16500.000000000011"/>
    <x v="3"/>
    <s v="Pending"/>
    <x v="11"/>
    <s v="Q3"/>
    <n v="2025"/>
    <n v="0.12500000000000008"/>
  </r>
  <r>
    <x v="403"/>
    <x v="84"/>
    <x v="74"/>
    <x v="64"/>
    <s v="P102"/>
    <x v="1"/>
    <x v="0"/>
    <x v="0"/>
    <x v="0"/>
    <n v="1"/>
    <n v="800"/>
    <n v="15"/>
    <n v="680"/>
    <n v="560"/>
    <n v="120"/>
    <x v="1"/>
    <s v="Pending"/>
    <x v="11"/>
    <s v="Q3"/>
    <n v="2025"/>
    <n v="0.17647058823529413"/>
  </r>
  <r>
    <x v="404"/>
    <x v="114"/>
    <x v="0"/>
    <x v="81"/>
    <s v="P108"/>
    <x v="4"/>
    <x v="1"/>
    <x v="2"/>
    <x v="2"/>
    <n v="9"/>
    <n v="3200"/>
    <n v="10"/>
    <n v="25920"/>
    <n v="20160"/>
    <n v="5760"/>
    <x v="1"/>
    <s v="Pending"/>
    <x v="1"/>
    <s v="Q4"/>
    <n v="2025"/>
    <n v="0.22222222222222221"/>
  </r>
  <r>
    <x v="405"/>
    <x v="242"/>
    <x v="44"/>
    <x v="34"/>
    <s v="P105"/>
    <x v="5"/>
    <x v="2"/>
    <x v="2"/>
    <x v="4"/>
    <n v="5"/>
    <n v="8500"/>
    <n v="15"/>
    <n v="36125"/>
    <n v="29750"/>
    <n v="6375.0000000000036"/>
    <x v="1"/>
    <s v="Pending"/>
    <x v="4"/>
    <s v="Q4"/>
    <n v="2025"/>
    <n v="0.17647058823529421"/>
  </r>
  <r>
    <x v="406"/>
    <x v="226"/>
    <x v="3"/>
    <x v="54"/>
    <s v="P108"/>
    <x v="4"/>
    <x v="1"/>
    <x v="3"/>
    <x v="4"/>
    <n v="3"/>
    <n v="3200"/>
    <n v="5"/>
    <n v="9120"/>
    <n v="6720"/>
    <n v="2400"/>
    <x v="0"/>
    <s v="Pending"/>
    <x v="2"/>
    <s v="Q2"/>
    <n v="2025"/>
    <n v="0.26315789473684209"/>
  </r>
  <r>
    <x v="407"/>
    <x v="116"/>
    <x v="78"/>
    <x v="43"/>
    <s v="P105"/>
    <x v="5"/>
    <x v="2"/>
    <x v="3"/>
    <x v="1"/>
    <n v="7"/>
    <n v="8500"/>
    <n v="5"/>
    <n v="56525"/>
    <n v="41650"/>
    <n v="14875"/>
    <x v="1"/>
    <s v="Returned"/>
    <x v="10"/>
    <s v="Q2"/>
    <n v="2025"/>
    <n v="0.26315789473684209"/>
  </r>
  <r>
    <x v="408"/>
    <x v="229"/>
    <x v="89"/>
    <x v="45"/>
    <s v="P106"/>
    <x v="3"/>
    <x v="0"/>
    <x v="0"/>
    <x v="3"/>
    <n v="5"/>
    <n v="9500"/>
    <n v="5"/>
    <n v="45125"/>
    <n v="33250"/>
    <n v="11875"/>
    <x v="3"/>
    <s v="Delivered"/>
    <x v="8"/>
    <s v="Q3"/>
    <n v="2025"/>
    <n v="0.26315789473684209"/>
  </r>
  <r>
    <x v="409"/>
    <x v="168"/>
    <x v="22"/>
    <x v="56"/>
    <s v="P108"/>
    <x v="4"/>
    <x v="1"/>
    <x v="1"/>
    <x v="3"/>
    <n v="9"/>
    <n v="3200"/>
    <n v="0"/>
    <n v="28800"/>
    <n v="20160"/>
    <n v="8640"/>
    <x v="0"/>
    <s v="Returned"/>
    <x v="3"/>
    <s v="Q1"/>
    <n v="2025"/>
    <n v="0.3"/>
  </r>
  <r>
    <x v="410"/>
    <x v="112"/>
    <x v="54"/>
    <x v="42"/>
    <s v="P102"/>
    <x v="1"/>
    <x v="0"/>
    <x v="1"/>
    <x v="3"/>
    <n v="3"/>
    <n v="800"/>
    <n v="5"/>
    <n v="2280"/>
    <n v="1680"/>
    <n v="600"/>
    <x v="1"/>
    <s v="Delivered"/>
    <x v="11"/>
    <s v="Q3"/>
    <n v="2025"/>
    <n v="0.26315789473684209"/>
  </r>
  <r>
    <x v="411"/>
    <x v="157"/>
    <x v="33"/>
    <x v="74"/>
    <s v="P101"/>
    <x v="2"/>
    <x v="0"/>
    <x v="1"/>
    <x v="2"/>
    <n v="7"/>
    <n v="55000"/>
    <n v="0"/>
    <n v="385000"/>
    <n v="269500"/>
    <n v="115500"/>
    <x v="1"/>
    <s v="Delivered"/>
    <x v="6"/>
    <s v="Q2"/>
    <n v="2025"/>
    <n v="0.3"/>
  </r>
  <r>
    <x v="412"/>
    <x v="222"/>
    <x v="32"/>
    <x v="42"/>
    <s v="P102"/>
    <x v="1"/>
    <x v="0"/>
    <x v="3"/>
    <x v="0"/>
    <n v="8"/>
    <n v="800"/>
    <n v="0"/>
    <n v="6400"/>
    <n v="4480"/>
    <n v="1920"/>
    <x v="0"/>
    <s v="Returned"/>
    <x v="0"/>
    <s v="Q4"/>
    <n v="2025"/>
    <n v="0.3"/>
  </r>
  <r>
    <x v="413"/>
    <x v="117"/>
    <x v="71"/>
    <x v="52"/>
    <s v="P102"/>
    <x v="1"/>
    <x v="0"/>
    <x v="0"/>
    <x v="4"/>
    <n v="4"/>
    <n v="800"/>
    <n v="15"/>
    <n v="2720"/>
    <n v="2240"/>
    <n v="480"/>
    <x v="3"/>
    <s v="Delivered"/>
    <x v="1"/>
    <s v="Q4"/>
    <n v="2025"/>
    <n v="0.17647058823529413"/>
  </r>
  <r>
    <x v="414"/>
    <x v="221"/>
    <x v="4"/>
    <x v="61"/>
    <s v="P106"/>
    <x v="3"/>
    <x v="0"/>
    <x v="2"/>
    <x v="0"/>
    <n v="1"/>
    <n v="9500"/>
    <n v="0"/>
    <n v="9500"/>
    <n v="6650"/>
    <n v="2850"/>
    <x v="2"/>
    <s v="Delivered"/>
    <x v="8"/>
    <s v="Q3"/>
    <n v="2025"/>
    <n v="0.3"/>
  </r>
  <r>
    <x v="415"/>
    <x v="243"/>
    <x v="3"/>
    <x v="12"/>
    <s v="P102"/>
    <x v="1"/>
    <x v="0"/>
    <x v="0"/>
    <x v="4"/>
    <n v="6"/>
    <n v="800"/>
    <n v="15"/>
    <n v="4080"/>
    <n v="3360"/>
    <n v="720"/>
    <x v="1"/>
    <s v="Pending"/>
    <x v="9"/>
    <s v="Q1"/>
    <n v="2025"/>
    <n v="0.17647058823529413"/>
  </r>
  <r>
    <x v="416"/>
    <x v="244"/>
    <x v="55"/>
    <x v="7"/>
    <s v="P104"/>
    <x v="7"/>
    <x v="2"/>
    <x v="1"/>
    <x v="3"/>
    <n v="3"/>
    <n v="4500"/>
    <n v="15"/>
    <n v="11475"/>
    <n v="9450"/>
    <n v="2025"/>
    <x v="0"/>
    <s v="Returned"/>
    <x v="1"/>
    <s v="Q4"/>
    <n v="2025"/>
    <n v="0.17647058823529413"/>
  </r>
  <r>
    <x v="417"/>
    <x v="146"/>
    <x v="77"/>
    <x v="31"/>
    <s v="P103"/>
    <x v="6"/>
    <x v="0"/>
    <x v="3"/>
    <x v="0"/>
    <n v="7"/>
    <n v="1500"/>
    <n v="15"/>
    <n v="8925"/>
    <n v="7349.9999999999991"/>
    <n v="1575.0000000000009"/>
    <x v="2"/>
    <s v="Returned"/>
    <x v="5"/>
    <s v="Q3"/>
    <n v="2025"/>
    <n v="0.17647058823529421"/>
  </r>
  <r>
    <x v="418"/>
    <x v="150"/>
    <x v="26"/>
    <x v="94"/>
    <s v="P101"/>
    <x v="2"/>
    <x v="0"/>
    <x v="1"/>
    <x v="4"/>
    <n v="4"/>
    <n v="55000"/>
    <n v="15"/>
    <n v="187000"/>
    <n v="154000"/>
    <n v="33000"/>
    <x v="0"/>
    <s v="Pending"/>
    <x v="1"/>
    <s v="Q4"/>
    <n v="2025"/>
    <n v="0.17647058823529413"/>
  </r>
  <r>
    <x v="419"/>
    <x v="150"/>
    <x v="44"/>
    <x v="86"/>
    <s v="P103"/>
    <x v="6"/>
    <x v="0"/>
    <x v="2"/>
    <x v="4"/>
    <n v="9"/>
    <n v="1500"/>
    <n v="10"/>
    <n v="12150"/>
    <n v="9450"/>
    <n v="2700"/>
    <x v="1"/>
    <s v="Delivered"/>
    <x v="1"/>
    <s v="Q4"/>
    <n v="2025"/>
    <n v="0.22222222222222221"/>
  </r>
  <r>
    <x v="420"/>
    <x v="164"/>
    <x v="69"/>
    <x v="78"/>
    <s v="P107"/>
    <x v="0"/>
    <x v="0"/>
    <x v="0"/>
    <x v="5"/>
    <n v="3"/>
    <n v="3500"/>
    <n v="15"/>
    <n v="8925"/>
    <n v="7349.9999999999991"/>
    <n v="1575.0000000000009"/>
    <x v="1"/>
    <s v="Pending"/>
    <x v="11"/>
    <s v="Q3"/>
    <n v="2025"/>
    <n v="0.17647058823529421"/>
  </r>
  <r>
    <x v="421"/>
    <x v="245"/>
    <x v="42"/>
    <x v="80"/>
    <s v="P101"/>
    <x v="2"/>
    <x v="0"/>
    <x v="3"/>
    <x v="5"/>
    <n v="5"/>
    <n v="55000"/>
    <n v="15"/>
    <n v="233750"/>
    <n v="192500"/>
    <n v="41250"/>
    <x v="2"/>
    <s v="Returned"/>
    <x v="8"/>
    <s v="Q3"/>
    <n v="2025"/>
    <n v="0.17647058823529413"/>
  </r>
  <r>
    <x v="422"/>
    <x v="246"/>
    <x v="69"/>
    <x v="95"/>
    <s v="P101"/>
    <x v="2"/>
    <x v="0"/>
    <x v="2"/>
    <x v="2"/>
    <n v="5"/>
    <n v="55000"/>
    <n v="15"/>
    <n v="233750"/>
    <n v="192500"/>
    <n v="41250"/>
    <x v="3"/>
    <s v="Delivered"/>
    <x v="11"/>
    <s v="Q3"/>
    <n v="2025"/>
    <n v="0.17647058823529413"/>
  </r>
  <r>
    <x v="423"/>
    <x v="247"/>
    <x v="70"/>
    <x v="22"/>
    <s v="P107"/>
    <x v="0"/>
    <x v="0"/>
    <x v="1"/>
    <x v="5"/>
    <n v="1"/>
    <n v="3500"/>
    <n v="10"/>
    <n v="3150"/>
    <n v="2450"/>
    <n v="700"/>
    <x v="2"/>
    <s v="Pending"/>
    <x v="3"/>
    <s v="Q1"/>
    <n v="2025"/>
    <n v="0.22222222222222221"/>
  </r>
  <r>
    <x v="424"/>
    <x v="128"/>
    <x v="83"/>
    <x v="14"/>
    <s v="P101"/>
    <x v="2"/>
    <x v="0"/>
    <x v="0"/>
    <x v="4"/>
    <n v="1"/>
    <n v="55000"/>
    <n v="10"/>
    <n v="49500"/>
    <n v="38500"/>
    <n v="11000"/>
    <x v="2"/>
    <s v="Returned"/>
    <x v="4"/>
    <s v="Q4"/>
    <n v="2025"/>
    <n v="0.22222222222222221"/>
  </r>
  <r>
    <x v="425"/>
    <x v="167"/>
    <x v="81"/>
    <x v="84"/>
    <s v="P103"/>
    <x v="6"/>
    <x v="0"/>
    <x v="2"/>
    <x v="3"/>
    <n v="8"/>
    <n v="1500"/>
    <n v="10"/>
    <n v="10800"/>
    <n v="8400"/>
    <n v="2400"/>
    <x v="3"/>
    <s v="Returned"/>
    <x v="5"/>
    <s v="Q3"/>
    <n v="2025"/>
    <n v="0.22222222222222221"/>
  </r>
  <r>
    <x v="426"/>
    <x v="158"/>
    <x v="92"/>
    <x v="60"/>
    <s v="P102"/>
    <x v="1"/>
    <x v="0"/>
    <x v="0"/>
    <x v="5"/>
    <n v="4"/>
    <n v="800"/>
    <n v="0"/>
    <n v="3200"/>
    <n v="2240"/>
    <n v="960"/>
    <x v="3"/>
    <s v="Returned"/>
    <x v="6"/>
    <s v="Q2"/>
    <n v="2025"/>
    <n v="0.3"/>
  </r>
  <r>
    <x v="427"/>
    <x v="44"/>
    <x v="99"/>
    <x v="10"/>
    <s v="P105"/>
    <x v="5"/>
    <x v="2"/>
    <x v="2"/>
    <x v="3"/>
    <n v="4"/>
    <n v="8500"/>
    <n v="5"/>
    <n v="32300"/>
    <n v="23800"/>
    <n v="8500"/>
    <x v="0"/>
    <s v="Pending"/>
    <x v="6"/>
    <s v="Q2"/>
    <n v="2025"/>
    <n v="0.26315789473684209"/>
  </r>
  <r>
    <x v="428"/>
    <x v="167"/>
    <x v="32"/>
    <x v="2"/>
    <s v="P103"/>
    <x v="6"/>
    <x v="0"/>
    <x v="2"/>
    <x v="2"/>
    <n v="5"/>
    <n v="1500"/>
    <n v="15"/>
    <n v="6375"/>
    <n v="5250"/>
    <n v="1125"/>
    <x v="1"/>
    <s v="Pending"/>
    <x v="5"/>
    <s v="Q3"/>
    <n v="2025"/>
    <n v="0.17647058823529413"/>
  </r>
  <r>
    <x v="429"/>
    <x v="248"/>
    <x v="88"/>
    <x v="48"/>
    <s v="P107"/>
    <x v="0"/>
    <x v="0"/>
    <x v="0"/>
    <x v="2"/>
    <n v="7"/>
    <n v="3500"/>
    <n v="20"/>
    <n v="19600"/>
    <n v="17150"/>
    <n v="2450"/>
    <x v="2"/>
    <s v="Pending"/>
    <x v="11"/>
    <s v="Q3"/>
    <n v="2025"/>
    <n v="0.125"/>
  </r>
  <r>
    <x v="430"/>
    <x v="173"/>
    <x v="43"/>
    <x v="0"/>
    <s v="P108"/>
    <x v="4"/>
    <x v="1"/>
    <x v="2"/>
    <x v="4"/>
    <n v="7"/>
    <n v="3200"/>
    <n v="20"/>
    <n v="17920"/>
    <n v="15680"/>
    <n v="2240.0000000000018"/>
    <x v="1"/>
    <s v="Pending"/>
    <x v="9"/>
    <s v="Q1"/>
    <n v="2025"/>
    <n v="0.12500000000000011"/>
  </r>
  <r>
    <x v="431"/>
    <x v="249"/>
    <x v="62"/>
    <x v="65"/>
    <s v="P101"/>
    <x v="2"/>
    <x v="0"/>
    <x v="3"/>
    <x v="2"/>
    <n v="4"/>
    <n v="55000"/>
    <n v="5"/>
    <n v="209000"/>
    <n v="154000"/>
    <n v="55000"/>
    <x v="2"/>
    <s v="Delivered"/>
    <x v="6"/>
    <s v="Q2"/>
    <n v="2025"/>
    <n v="0.26315789473684209"/>
  </r>
  <r>
    <x v="432"/>
    <x v="205"/>
    <x v="58"/>
    <x v="7"/>
    <s v="P102"/>
    <x v="1"/>
    <x v="0"/>
    <x v="3"/>
    <x v="0"/>
    <n v="4"/>
    <n v="800"/>
    <n v="15"/>
    <n v="2720"/>
    <n v="2240"/>
    <n v="480"/>
    <x v="3"/>
    <s v="Returned"/>
    <x v="8"/>
    <s v="Q3"/>
    <n v="2025"/>
    <n v="0.17647058823529413"/>
  </r>
  <r>
    <x v="433"/>
    <x v="155"/>
    <x v="65"/>
    <x v="1"/>
    <s v="P108"/>
    <x v="4"/>
    <x v="1"/>
    <x v="3"/>
    <x v="4"/>
    <n v="2"/>
    <n v="3200"/>
    <n v="10"/>
    <n v="5760"/>
    <n v="4480"/>
    <n v="1280"/>
    <x v="0"/>
    <s v="Pending"/>
    <x v="1"/>
    <s v="Q4"/>
    <n v="2025"/>
    <n v="0.22222222222222221"/>
  </r>
  <r>
    <x v="434"/>
    <x v="178"/>
    <x v="22"/>
    <x v="16"/>
    <s v="P106"/>
    <x v="3"/>
    <x v="0"/>
    <x v="0"/>
    <x v="1"/>
    <n v="4"/>
    <n v="9500"/>
    <n v="20"/>
    <n v="30400"/>
    <n v="26600"/>
    <n v="3800"/>
    <x v="0"/>
    <s v="Delivered"/>
    <x v="7"/>
    <s v="Q1"/>
    <n v="2025"/>
    <n v="0.125"/>
  </r>
  <r>
    <x v="435"/>
    <x v="194"/>
    <x v="7"/>
    <x v="6"/>
    <s v="P103"/>
    <x v="6"/>
    <x v="0"/>
    <x v="1"/>
    <x v="1"/>
    <n v="10"/>
    <n v="1500"/>
    <n v="0"/>
    <n v="15000"/>
    <n v="10500"/>
    <n v="4500"/>
    <x v="2"/>
    <s v="Pending"/>
    <x v="3"/>
    <s v="Q1"/>
    <n v="2025"/>
    <n v="0.3"/>
  </r>
  <r>
    <x v="436"/>
    <x v="88"/>
    <x v="54"/>
    <x v="30"/>
    <s v="P104"/>
    <x v="7"/>
    <x v="2"/>
    <x v="2"/>
    <x v="4"/>
    <n v="1"/>
    <n v="4500"/>
    <n v="0"/>
    <n v="4500"/>
    <n v="3150"/>
    <n v="1350"/>
    <x v="2"/>
    <s v="Delivered"/>
    <x v="7"/>
    <s v="Q1"/>
    <n v="2025"/>
    <n v="0.3"/>
  </r>
  <r>
    <x v="437"/>
    <x v="97"/>
    <x v="93"/>
    <x v="73"/>
    <s v="P106"/>
    <x v="3"/>
    <x v="0"/>
    <x v="0"/>
    <x v="2"/>
    <n v="8"/>
    <n v="9500"/>
    <n v="15"/>
    <n v="64600"/>
    <n v="53200"/>
    <n v="11400"/>
    <x v="2"/>
    <s v="Returned"/>
    <x v="0"/>
    <s v="Q4"/>
    <n v="2025"/>
    <n v="0.17647058823529413"/>
  </r>
  <r>
    <x v="438"/>
    <x v="250"/>
    <x v="41"/>
    <x v="2"/>
    <s v="P103"/>
    <x v="6"/>
    <x v="0"/>
    <x v="2"/>
    <x v="2"/>
    <n v="4"/>
    <n v="1500"/>
    <n v="0"/>
    <n v="6000"/>
    <n v="4200"/>
    <n v="1800"/>
    <x v="0"/>
    <s v="Returned"/>
    <x v="0"/>
    <s v="Q4"/>
    <n v="2025"/>
    <n v="0.3"/>
  </r>
  <r>
    <x v="439"/>
    <x v="251"/>
    <x v="23"/>
    <x v="54"/>
    <s v="P107"/>
    <x v="0"/>
    <x v="0"/>
    <x v="3"/>
    <x v="5"/>
    <n v="5"/>
    <n v="3500"/>
    <n v="5"/>
    <n v="16625"/>
    <n v="12250"/>
    <n v="4375"/>
    <x v="0"/>
    <s v="Returned"/>
    <x v="5"/>
    <s v="Q3"/>
    <n v="2025"/>
    <n v="0.26315789473684209"/>
  </r>
  <r>
    <x v="440"/>
    <x v="252"/>
    <x v="85"/>
    <x v="40"/>
    <s v="P105"/>
    <x v="5"/>
    <x v="2"/>
    <x v="0"/>
    <x v="1"/>
    <n v="8"/>
    <n v="8500"/>
    <n v="20"/>
    <n v="54400"/>
    <n v="47600"/>
    <n v="6800"/>
    <x v="1"/>
    <s v="Returned"/>
    <x v="6"/>
    <s v="Q2"/>
    <n v="2025"/>
    <n v="0.125"/>
  </r>
  <r>
    <x v="441"/>
    <x v="253"/>
    <x v="86"/>
    <x v="54"/>
    <s v="P104"/>
    <x v="7"/>
    <x v="2"/>
    <x v="0"/>
    <x v="2"/>
    <n v="9"/>
    <n v="4500"/>
    <n v="10"/>
    <n v="36450"/>
    <n v="28350"/>
    <n v="8100"/>
    <x v="3"/>
    <s v="Pending"/>
    <x v="11"/>
    <s v="Q3"/>
    <n v="2025"/>
    <n v="0.22222222222222221"/>
  </r>
  <r>
    <x v="442"/>
    <x v="254"/>
    <x v="54"/>
    <x v="31"/>
    <s v="P106"/>
    <x v="3"/>
    <x v="0"/>
    <x v="2"/>
    <x v="4"/>
    <n v="7"/>
    <n v="9500"/>
    <n v="15"/>
    <n v="56525"/>
    <n v="46550"/>
    <n v="9975"/>
    <x v="1"/>
    <s v="Pending"/>
    <x v="4"/>
    <s v="Q4"/>
    <n v="2025"/>
    <n v="0.17647058823529413"/>
  </r>
  <r>
    <x v="443"/>
    <x v="11"/>
    <x v="24"/>
    <x v="2"/>
    <s v="P103"/>
    <x v="6"/>
    <x v="0"/>
    <x v="2"/>
    <x v="4"/>
    <n v="5"/>
    <n v="1500"/>
    <n v="15"/>
    <n v="6375"/>
    <n v="5250"/>
    <n v="1125"/>
    <x v="0"/>
    <s v="Returned"/>
    <x v="3"/>
    <s v="Q1"/>
    <n v="2025"/>
    <n v="0.17647058823529413"/>
  </r>
  <r>
    <x v="444"/>
    <x v="142"/>
    <x v="12"/>
    <x v="75"/>
    <s v="P102"/>
    <x v="1"/>
    <x v="0"/>
    <x v="3"/>
    <x v="3"/>
    <n v="9"/>
    <n v="800"/>
    <n v="15"/>
    <n v="6120"/>
    <n v="5040"/>
    <n v="1080"/>
    <x v="3"/>
    <s v="Returned"/>
    <x v="0"/>
    <s v="Q4"/>
    <n v="2025"/>
    <n v="0.17647058823529413"/>
  </r>
  <r>
    <x v="445"/>
    <x v="182"/>
    <x v="46"/>
    <x v="74"/>
    <s v="P108"/>
    <x v="4"/>
    <x v="1"/>
    <x v="1"/>
    <x v="1"/>
    <n v="7"/>
    <n v="3200"/>
    <n v="20"/>
    <n v="17920"/>
    <n v="15680"/>
    <n v="2240.0000000000018"/>
    <x v="1"/>
    <s v="Delivered"/>
    <x v="11"/>
    <s v="Q3"/>
    <n v="2025"/>
    <n v="0.12500000000000011"/>
  </r>
  <r>
    <x v="446"/>
    <x v="95"/>
    <x v="80"/>
    <x v="65"/>
    <s v="P102"/>
    <x v="1"/>
    <x v="0"/>
    <x v="3"/>
    <x v="0"/>
    <n v="9"/>
    <n v="800"/>
    <n v="15"/>
    <n v="6120"/>
    <n v="5040"/>
    <n v="1080"/>
    <x v="1"/>
    <s v="Pending"/>
    <x v="10"/>
    <s v="Q2"/>
    <n v="2025"/>
    <n v="0.17647058823529413"/>
  </r>
  <r>
    <x v="447"/>
    <x v="149"/>
    <x v="58"/>
    <x v="94"/>
    <s v="P105"/>
    <x v="5"/>
    <x v="2"/>
    <x v="1"/>
    <x v="0"/>
    <n v="9"/>
    <n v="8500"/>
    <n v="0"/>
    <n v="76500"/>
    <n v="53550"/>
    <n v="22950"/>
    <x v="2"/>
    <s v="Returned"/>
    <x v="2"/>
    <s v="Q2"/>
    <n v="2025"/>
    <n v="0.3"/>
  </r>
  <r>
    <x v="448"/>
    <x v="255"/>
    <x v="72"/>
    <x v="30"/>
    <s v="P107"/>
    <x v="0"/>
    <x v="0"/>
    <x v="0"/>
    <x v="0"/>
    <n v="1"/>
    <n v="3500"/>
    <n v="5"/>
    <n v="3325"/>
    <n v="2450"/>
    <n v="875"/>
    <x v="0"/>
    <s v="Pending"/>
    <x v="9"/>
    <s v="Q1"/>
    <n v="2025"/>
    <n v="0.26315789473684209"/>
  </r>
  <r>
    <x v="449"/>
    <x v="256"/>
    <x v="85"/>
    <x v="57"/>
    <s v="P105"/>
    <x v="5"/>
    <x v="2"/>
    <x v="2"/>
    <x v="5"/>
    <n v="9"/>
    <n v="8500"/>
    <n v="10"/>
    <n v="68850"/>
    <n v="53550"/>
    <n v="15300"/>
    <x v="2"/>
    <s v="Pending"/>
    <x v="2"/>
    <s v="Q2"/>
    <n v="2025"/>
    <n v="0.22222222222222221"/>
  </r>
  <r>
    <x v="450"/>
    <x v="257"/>
    <x v="57"/>
    <x v="21"/>
    <s v="P102"/>
    <x v="1"/>
    <x v="0"/>
    <x v="2"/>
    <x v="5"/>
    <n v="7"/>
    <n v="800"/>
    <n v="5"/>
    <n v="5320"/>
    <n v="3920"/>
    <n v="1400"/>
    <x v="0"/>
    <s v="Delivered"/>
    <x v="7"/>
    <s v="Q1"/>
    <n v="2025"/>
    <n v="0.26315789473684209"/>
  </r>
  <r>
    <x v="451"/>
    <x v="209"/>
    <x v="64"/>
    <x v="92"/>
    <s v="P106"/>
    <x v="3"/>
    <x v="0"/>
    <x v="1"/>
    <x v="3"/>
    <n v="8"/>
    <n v="9500"/>
    <n v="20"/>
    <n v="60800"/>
    <n v="53200"/>
    <n v="7600"/>
    <x v="3"/>
    <s v="Returned"/>
    <x v="6"/>
    <s v="Q2"/>
    <n v="2025"/>
    <n v="0.125"/>
  </r>
  <r>
    <x v="452"/>
    <x v="211"/>
    <x v="10"/>
    <x v="74"/>
    <s v="P101"/>
    <x v="2"/>
    <x v="0"/>
    <x v="2"/>
    <x v="0"/>
    <n v="5"/>
    <n v="55000"/>
    <n v="20"/>
    <n v="220000"/>
    <n v="192500"/>
    <n v="27500"/>
    <x v="2"/>
    <s v="Delivered"/>
    <x v="9"/>
    <s v="Q1"/>
    <n v="2025"/>
    <n v="0.125"/>
  </r>
  <r>
    <x v="453"/>
    <x v="25"/>
    <x v="49"/>
    <x v="58"/>
    <s v="P106"/>
    <x v="3"/>
    <x v="0"/>
    <x v="2"/>
    <x v="2"/>
    <n v="10"/>
    <n v="9500"/>
    <n v="5"/>
    <n v="90250"/>
    <n v="66500"/>
    <n v="23750"/>
    <x v="2"/>
    <s v="Returned"/>
    <x v="9"/>
    <s v="Q1"/>
    <n v="2025"/>
    <n v="0.26315789473684209"/>
  </r>
  <r>
    <x v="454"/>
    <x v="70"/>
    <x v="62"/>
    <x v="13"/>
    <s v="P104"/>
    <x v="7"/>
    <x v="2"/>
    <x v="2"/>
    <x v="4"/>
    <n v="4"/>
    <n v="4500"/>
    <n v="20"/>
    <n v="14400"/>
    <n v="12600"/>
    <n v="1800"/>
    <x v="1"/>
    <s v="Pending"/>
    <x v="8"/>
    <s v="Q3"/>
    <n v="2025"/>
    <n v="0.125"/>
  </r>
  <r>
    <x v="455"/>
    <x v="258"/>
    <x v="62"/>
    <x v="83"/>
    <s v="P105"/>
    <x v="5"/>
    <x v="2"/>
    <x v="3"/>
    <x v="1"/>
    <n v="5"/>
    <n v="8500"/>
    <n v="20"/>
    <n v="34000"/>
    <n v="29750"/>
    <n v="4250.0000000000036"/>
    <x v="3"/>
    <s v="Pending"/>
    <x v="3"/>
    <s v="Q1"/>
    <n v="2025"/>
    <n v="0.12500000000000011"/>
  </r>
  <r>
    <x v="456"/>
    <x v="180"/>
    <x v="75"/>
    <x v="27"/>
    <s v="P102"/>
    <x v="1"/>
    <x v="0"/>
    <x v="3"/>
    <x v="1"/>
    <n v="8"/>
    <n v="800"/>
    <n v="20"/>
    <n v="5120"/>
    <n v="4480"/>
    <n v="640"/>
    <x v="3"/>
    <s v="Returned"/>
    <x v="3"/>
    <s v="Q1"/>
    <n v="2025"/>
    <n v="0.125"/>
  </r>
  <r>
    <x v="457"/>
    <x v="240"/>
    <x v="89"/>
    <x v="46"/>
    <s v="P105"/>
    <x v="5"/>
    <x v="2"/>
    <x v="1"/>
    <x v="3"/>
    <n v="1"/>
    <n v="8500"/>
    <n v="5"/>
    <n v="8075"/>
    <n v="5950"/>
    <n v="2125"/>
    <x v="2"/>
    <s v="Pending"/>
    <x v="9"/>
    <s v="Q1"/>
    <n v="2025"/>
    <n v="0.26315789473684209"/>
  </r>
  <r>
    <x v="458"/>
    <x v="129"/>
    <x v="83"/>
    <x v="62"/>
    <s v="P101"/>
    <x v="2"/>
    <x v="0"/>
    <x v="0"/>
    <x v="2"/>
    <n v="10"/>
    <n v="55000"/>
    <n v="20"/>
    <n v="440000"/>
    <n v="385000"/>
    <n v="55000"/>
    <x v="2"/>
    <s v="Returned"/>
    <x v="7"/>
    <s v="Q1"/>
    <n v="2025"/>
    <n v="0.125"/>
  </r>
  <r>
    <x v="459"/>
    <x v="259"/>
    <x v="92"/>
    <x v="85"/>
    <s v="P108"/>
    <x v="4"/>
    <x v="1"/>
    <x v="0"/>
    <x v="4"/>
    <n v="3"/>
    <n v="3200"/>
    <n v="15"/>
    <n v="8160"/>
    <n v="6720"/>
    <n v="1440"/>
    <x v="1"/>
    <s v="Pending"/>
    <x v="4"/>
    <s v="Q4"/>
    <n v="2025"/>
    <n v="0.17647058823529413"/>
  </r>
  <r>
    <x v="460"/>
    <x v="260"/>
    <x v="62"/>
    <x v="92"/>
    <s v="P101"/>
    <x v="2"/>
    <x v="0"/>
    <x v="2"/>
    <x v="0"/>
    <n v="5"/>
    <n v="55000"/>
    <n v="10"/>
    <n v="247500"/>
    <n v="192500"/>
    <n v="55000"/>
    <x v="1"/>
    <s v="Returned"/>
    <x v="9"/>
    <s v="Q1"/>
    <n v="2025"/>
    <n v="0.22222222222222221"/>
  </r>
  <r>
    <x v="461"/>
    <x v="105"/>
    <x v="60"/>
    <x v="63"/>
    <s v="P107"/>
    <x v="0"/>
    <x v="0"/>
    <x v="2"/>
    <x v="4"/>
    <n v="5"/>
    <n v="3500"/>
    <n v="5"/>
    <n v="16625"/>
    <n v="12250"/>
    <n v="4375"/>
    <x v="2"/>
    <s v="Pending"/>
    <x v="0"/>
    <s v="Q4"/>
    <n v="2025"/>
    <n v="0.26315789473684209"/>
  </r>
  <r>
    <x v="462"/>
    <x v="115"/>
    <x v="14"/>
    <x v="51"/>
    <s v="P107"/>
    <x v="0"/>
    <x v="0"/>
    <x v="2"/>
    <x v="2"/>
    <n v="3"/>
    <n v="3500"/>
    <n v="10"/>
    <n v="9450"/>
    <n v="7349.9999999999991"/>
    <n v="2100.0000000000009"/>
    <x v="2"/>
    <s v="Delivered"/>
    <x v="8"/>
    <s v="Q3"/>
    <n v="2025"/>
    <n v="0.22222222222222232"/>
  </r>
  <r>
    <x v="463"/>
    <x v="247"/>
    <x v="80"/>
    <x v="38"/>
    <s v="P108"/>
    <x v="4"/>
    <x v="1"/>
    <x v="3"/>
    <x v="5"/>
    <n v="7"/>
    <n v="3200"/>
    <n v="0"/>
    <n v="22400"/>
    <n v="15680"/>
    <n v="6720.0000000000018"/>
    <x v="0"/>
    <s v="Pending"/>
    <x v="3"/>
    <s v="Q1"/>
    <n v="2025"/>
    <n v="0.3000000000000001"/>
  </r>
  <r>
    <x v="464"/>
    <x v="187"/>
    <x v="97"/>
    <x v="58"/>
    <s v="P108"/>
    <x v="4"/>
    <x v="1"/>
    <x v="0"/>
    <x v="0"/>
    <n v="2"/>
    <n v="3200"/>
    <n v="5"/>
    <n v="6080"/>
    <n v="4480"/>
    <n v="1600"/>
    <x v="0"/>
    <s v="Returned"/>
    <x v="3"/>
    <s v="Q1"/>
    <n v="2025"/>
    <n v="0.26315789473684209"/>
  </r>
  <r>
    <x v="465"/>
    <x v="162"/>
    <x v="48"/>
    <x v="68"/>
    <s v="P106"/>
    <x v="3"/>
    <x v="0"/>
    <x v="1"/>
    <x v="2"/>
    <n v="7"/>
    <n v="9500"/>
    <n v="15"/>
    <n v="56525"/>
    <n v="46550"/>
    <n v="9975"/>
    <x v="0"/>
    <s v="Delivered"/>
    <x v="7"/>
    <s v="Q1"/>
    <n v="2025"/>
    <n v="0.17647058823529413"/>
  </r>
  <r>
    <x v="466"/>
    <x v="17"/>
    <x v="11"/>
    <x v="78"/>
    <s v="P107"/>
    <x v="0"/>
    <x v="0"/>
    <x v="2"/>
    <x v="1"/>
    <n v="3"/>
    <n v="3500"/>
    <n v="15"/>
    <n v="8925"/>
    <n v="7349.9999999999991"/>
    <n v="1575.0000000000009"/>
    <x v="1"/>
    <s v="Pending"/>
    <x v="7"/>
    <s v="Q1"/>
    <n v="2025"/>
    <n v="0.17647058823529421"/>
  </r>
  <r>
    <x v="467"/>
    <x v="33"/>
    <x v="34"/>
    <x v="96"/>
    <s v="P105"/>
    <x v="5"/>
    <x v="2"/>
    <x v="1"/>
    <x v="0"/>
    <n v="1"/>
    <n v="8500"/>
    <n v="15"/>
    <n v="7225"/>
    <n v="5950"/>
    <n v="1275"/>
    <x v="0"/>
    <s v="Delivered"/>
    <x v="10"/>
    <s v="Q2"/>
    <n v="2025"/>
    <n v="0.17647058823529413"/>
  </r>
  <r>
    <x v="468"/>
    <x v="37"/>
    <x v="91"/>
    <x v="73"/>
    <s v="P103"/>
    <x v="6"/>
    <x v="0"/>
    <x v="0"/>
    <x v="1"/>
    <n v="3"/>
    <n v="1500"/>
    <n v="15"/>
    <n v="3825"/>
    <n v="3150"/>
    <n v="675"/>
    <x v="2"/>
    <s v="Pending"/>
    <x v="1"/>
    <s v="Q4"/>
    <n v="2025"/>
    <n v="0.17647058823529413"/>
  </r>
  <r>
    <x v="469"/>
    <x v="261"/>
    <x v="50"/>
    <x v="17"/>
    <s v="P103"/>
    <x v="6"/>
    <x v="0"/>
    <x v="0"/>
    <x v="3"/>
    <n v="10"/>
    <n v="1500"/>
    <n v="0"/>
    <n v="15000"/>
    <n v="10500"/>
    <n v="4500"/>
    <x v="3"/>
    <s v="Returned"/>
    <x v="2"/>
    <s v="Q2"/>
    <n v="2025"/>
    <n v="0.3"/>
  </r>
  <r>
    <x v="470"/>
    <x v="165"/>
    <x v="19"/>
    <x v="11"/>
    <s v="P102"/>
    <x v="1"/>
    <x v="0"/>
    <x v="0"/>
    <x v="0"/>
    <n v="5"/>
    <n v="800"/>
    <n v="5"/>
    <n v="3800"/>
    <n v="2800"/>
    <n v="1000"/>
    <x v="0"/>
    <s v="Delivered"/>
    <x v="6"/>
    <s v="Q2"/>
    <n v="2025"/>
    <n v="0.26315789473684209"/>
  </r>
  <r>
    <x v="471"/>
    <x v="262"/>
    <x v="51"/>
    <x v="28"/>
    <s v="P107"/>
    <x v="0"/>
    <x v="0"/>
    <x v="3"/>
    <x v="0"/>
    <n v="4"/>
    <n v="3500"/>
    <n v="15"/>
    <n v="11900"/>
    <n v="9800"/>
    <n v="2100"/>
    <x v="3"/>
    <s v="Returned"/>
    <x v="11"/>
    <s v="Q3"/>
    <n v="2025"/>
    <n v="0.17647058823529413"/>
  </r>
  <r>
    <x v="472"/>
    <x v="171"/>
    <x v="5"/>
    <x v="30"/>
    <s v="P101"/>
    <x v="2"/>
    <x v="0"/>
    <x v="2"/>
    <x v="0"/>
    <n v="7"/>
    <n v="55000"/>
    <n v="15"/>
    <n v="327250"/>
    <n v="269500"/>
    <n v="57750"/>
    <x v="0"/>
    <s v="Delivered"/>
    <x v="10"/>
    <s v="Q2"/>
    <n v="2025"/>
    <n v="0.17647058823529413"/>
  </r>
  <r>
    <x v="473"/>
    <x v="26"/>
    <x v="76"/>
    <x v="82"/>
    <s v="P106"/>
    <x v="3"/>
    <x v="0"/>
    <x v="2"/>
    <x v="5"/>
    <n v="10"/>
    <n v="9500"/>
    <n v="0"/>
    <n v="95000"/>
    <n v="66500"/>
    <n v="28500"/>
    <x v="2"/>
    <s v="Pending"/>
    <x v="1"/>
    <s v="Q4"/>
    <n v="2025"/>
    <n v="0.3"/>
  </r>
  <r>
    <x v="474"/>
    <x v="76"/>
    <x v="5"/>
    <x v="4"/>
    <s v="P101"/>
    <x v="2"/>
    <x v="0"/>
    <x v="2"/>
    <x v="0"/>
    <n v="5"/>
    <n v="55000"/>
    <n v="10"/>
    <n v="247500"/>
    <n v="192500"/>
    <n v="55000"/>
    <x v="0"/>
    <s v="Returned"/>
    <x v="2"/>
    <s v="Q2"/>
    <n v="2025"/>
    <n v="0.22222222222222221"/>
  </r>
  <r>
    <x v="475"/>
    <x v="13"/>
    <x v="59"/>
    <x v="7"/>
    <s v="P102"/>
    <x v="1"/>
    <x v="0"/>
    <x v="3"/>
    <x v="1"/>
    <n v="10"/>
    <n v="800"/>
    <n v="10"/>
    <n v="7200"/>
    <n v="5600"/>
    <n v="1600"/>
    <x v="0"/>
    <s v="Pending"/>
    <x v="5"/>
    <s v="Q3"/>
    <n v="2025"/>
    <n v="0.22222222222222221"/>
  </r>
  <r>
    <x v="476"/>
    <x v="152"/>
    <x v="13"/>
    <x v="50"/>
    <s v="P105"/>
    <x v="5"/>
    <x v="2"/>
    <x v="3"/>
    <x v="4"/>
    <n v="3"/>
    <n v="8500"/>
    <n v="20"/>
    <n v="20400"/>
    <n v="17850"/>
    <n v="2550"/>
    <x v="2"/>
    <s v="Returned"/>
    <x v="11"/>
    <s v="Q3"/>
    <n v="2025"/>
    <n v="0.125"/>
  </r>
  <r>
    <x v="477"/>
    <x v="263"/>
    <x v="76"/>
    <x v="82"/>
    <s v="P103"/>
    <x v="6"/>
    <x v="0"/>
    <x v="3"/>
    <x v="5"/>
    <n v="6"/>
    <n v="1500"/>
    <n v="0"/>
    <n v="9000"/>
    <n v="6300"/>
    <n v="2700"/>
    <x v="1"/>
    <s v="Delivered"/>
    <x v="3"/>
    <s v="Q1"/>
    <n v="2025"/>
    <n v="0.3"/>
  </r>
  <r>
    <x v="478"/>
    <x v="236"/>
    <x v="84"/>
    <x v="42"/>
    <s v="P105"/>
    <x v="5"/>
    <x v="2"/>
    <x v="0"/>
    <x v="2"/>
    <n v="10"/>
    <n v="8500"/>
    <n v="0"/>
    <n v="85000"/>
    <n v="59499.999999999993"/>
    <n v="25500.000000000011"/>
    <x v="3"/>
    <s v="Returned"/>
    <x v="11"/>
    <s v="Q3"/>
    <n v="2025"/>
    <n v="0.30000000000000016"/>
  </r>
  <r>
    <x v="479"/>
    <x v="264"/>
    <x v="13"/>
    <x v="75"/>
    <s v="P105"/>
    <x v="5"/>
    <x v="2"/>
    <x v="3"/>
    <x v="1"/>
    <n v="1"/>
    <n v="8500"/>
    <n v="5"/>
    <n v="8075"/>
    <n v="5950"/>
    <n v="2125"/>
    <x v="1"/>
    <s v="Delivered"/>
    <x v="11"/>
    <s v="Q3"/>
    <n v="2025"/>
    <n v="0.26315789473684209"/>
  </r>
  <r>
    <x v="480"/>
    <x v="265"/>
    <x v="68"/>
    <x v="49"/>
    <s v="P108"/>
    <x v="4"/>
    <x v="1"/>
    <x v="0"/>
    <x v="0"/>
    <n v="7"/>
    <n v="3200"/>
    <n v="10"/>
    <n v="20160"/>
    <n v="15680"/>
    <n v="4480.0000000000018"/>
    <x v="3"/>
    <s v="Delivered"/>
    <x v="3"/>
    <s v="Q1"/>
    <n v="2025"/>
    <n v="0.22222222222222232"/>
  </r>
  <r>
    <x v="481"/>
    <x v="70"/>
    <x v="73"/>
    <x v="44"/>
    <s v="P104"/>
    <x v="7"/>
    <x v="2"/>
    <x v="0"/>
    <x v="3"/>
    <n v="2"/>
    <n v="4500"/>
    <n v="15"/>
    <n v="7650"/>
    <n v="6300"/>
    <n v="1350"/>
    <x v="2"/>
    <s v="Pending"/>
    <x v="8"/>
    <s v="Q3"/>
    <n v="2025"/>
    <n v="0.17647058823529413"/>
  </r>
  <r>
    <x v="482"/>
    <x v="140"/>
    <x v="60"/>
    <x v="40"/>
    <s v="P103"/>
    <x v="6"/>
    <x v="0"/>
    <x v="1"/>
    <x v="4"/>
    <n v="1"/>
    <n v="1500"/>
    <n v="5"/>
    <n v="1425"/>
    <n v="1050"/>
    <n v="375"/>
    <x v="2"/>
    <s v="Delivered"/>
    <x v="1"/>
    <s v="Q4"/>
    <n v="2025"/>
    <n v="0.26315789473684209"/>
  </r>
  <r>
    <x v="483"/>
    <x v="47"/>
    <x v="12"/>
    <x v="48"/>
    <s v="P107"/>
    <x v="0"/>
    <x v="0"/>
    <x v="1"/>
    <x v="5"/>
    <n v="6"/>
    <n v="3500"/>
    <n v="5"/>
    <n v="19950"/>
    <n v="14700"/>
    <n v="5250.0000000000018"/>
    <x v="3"/>
    <s v="Delivered"/>
    <x v="4"/>
    <s v="Q4"/>
    <n v="2025"/>
    <n v="0.2631578947368422"/>
  </r>
  <r>
    <x v="484"/>
    <x v="56"/>
    <x v="99"/>
    <x v="37"/>
    <s v="P106"/>
    <x v="3"/>
    <x v="0"/>
    <x v="3"/>
    <x v="1"/>
    <n v="10"/>
    <n v="9500"/>
    <n v="20"/>
    <n v="76000"/>
    <n v="66500"/>
    <n v="9500"/>
    <x v="1"/>
    <s v="Returned"/>
    <x v="7"/>
    <s v="Q1"/>
    <n v="2025"/>
    <n v="0.125"/>
  </r>
  <r>
    <x v="485"/>
    <x v="182"/>
    <x v="30"/>
    <x v="49"/>
    <s v="P101"/>
    <x v="2"/>
    <x v="0"/>
    <x v="2"/>
    <x v="3"/>
    <n v="5"/>
    <n v="55000"/>
    <n v="0"/>
    <n v="275000"/>
    <n v="192500"/>
    <n v="82500"/>
    <x v="1"/>
    <s v="Returned"/>
    <x v="11"/>
    <s v="Q3"/>
    <n v="2025"/>
    <n v="0.3"/>
  </r>
  <r>
    <x v="486"/>
    <x v="95"/>
    <x v="98"/>
    <x v="89"/>
    <s v="P103"/>
    <x v="6"/>
    <x v="0"/>
    <x v="1"/>
    <x v="3"/>
    <n v="8"/>
    <n v="1500"/>
    <n v="0"/>
    <n v="12000"/>
    <n v="8400"/>
    <n v="3600"/>
    <x v="3"/>
    <s v="Returned"/>
    <x v="10"/>
    <s v="Q2"/>
    <n v="2025"/>
    <n v="0.3"/>
  </r>
  <r>
    <x v="487"/>
    <x v="120"/>
    <x v="47"/>
    <x v="67"/>
    <s v="P106"/>
    <x v="3"/>
    <x v="0"/>
    <x v="3"/>
    <x v="3"/>
    <n v="10"/>
    <n v="9500"/>
    <n v="10"/>
    <n v="85500"/>
    <n v="66500"/>
    <n v="19000"/>
    <x v="1"/>
    <s v="Delivered"/>
    <x v="10"/>
    <s v="Q2"/>
    <n v="2025"/>
    <n v="0.22222222222222221"/>
  </r>
  <r>
    <x v="488"/>
    <x v="266"/>
    <x v="66"/>
    <x v="7"/>
    <s v="P103"/>
    <x v="6"/>
    <x v="0"/>
    <x v="1"/>
    <x v="1"/>
    <n v="2"/>
    <n v="1500"/>
    <n v="15"/>
    <n v="2550"/>
    <n v="2100"/>
    <n v="450"/>
    <x v="1"/>
    <s v="Delivered"/>
    <x v="11"/>
    <s v="Q3"/>
    <n v="2025"/>
    <n v="0.17647058823529413"/>
  </r>
  <r>
    <x v="489"/>
    <x v="267"/>
    <x v="12"/>
    <x v="16"/>
    <s v="P108"/>
    <x v="4"/>
    <x v="1"/>
    <x v="0"/>
    <x v="2"/>
    <n v="6"/>
    <n v="3200"/>
    <n v="15"/>
    <n v="16320"/>
    <n v="13440"/>
    <n v="2880"/>
    <x v="2"/>
    <s v="Pending"/>
    <x v="11"/>
    <s v="Q3"/>
    <n v="2025"/>
    <n v="0.17647058823529413"/>
  </r>
  <r>
    <x v="490"/>
    <x v="241"/>
    <x v="68"/>
    <x v="95"/>
    <s v="P105"/>
    <x v="5"/>
    <x v="2"/>
    <x v="3"/>
    <x v="2"/>
    <n v="1"/>
    <n v="8500"/>
    <n v="0"/>
    <n v="8500"/>
    <n v="5950"/>
    <n v="2550"/>
    <x v="3"/>
    <s v="Pending"/>
    <x v="11"/>
    <s v="Q3"/>
    <n v="2025"/>
    <n v="0.3"/>
  </r>
  <r>
    <x v="491"/>
    <x v="268"/>
    <x v="72"/>
    <x v="32"/>
    <s v="P108"/>
    <x v="4"/>
    <x v="1"/>
    <x v="2"/>
    <x v="4"/>
    <n v="1"/>
    <n v="3200"/>
    <n v="15"/>
    <n v="2720"/>
    <n v="2240"/>
    <n v="480"/>
    <x v="3"/>
    <s v="Delivered"/>
    <x v="10"/>
    <s v="Q2"/>
    <n v="2025"/>
    <n v="0.17647058823529413"/>
  </r>
  <r>
    <x v="492"/>
    <x v="269"/>
    <x v="98"/>
    <x v="4"/>
    <s v="P101"/>
    <x v="2"/>
    <x v="0"/>
    <x v="1"/>
    <x v="1"/>
    <n v="8"/>
    <n v="55000"/>
    <n v="10"/>
    <n v="396000"/>
    <n v="308000"/>
    <n v="88000"/>
    <x v="3"/>
    <s v="Delivered"/>
    <x v="9"/>
    <s v="Q1"/>
    <n v="2025"/>
    <n v="0.22222222222222221"/>
  </r>
  <r>
    <x v="493"/>
    <x v="83"/>
    <x v="47"/>
    <x v="41"/>
    <s v="P108"/>
    <x v="4"/>
    <x v="1"/>
    <x v="3"/>
    <x v="3"/>
    <n v="2"/>
    <n v="3200"/>
    <n v="0"/>
    <n v="6400"/>
    <n v="4480"/>
    <n v="1920"/>
    <x v="1"/>
    <s v="Delivered"/>
    <x v="9"/>
    <s v="Q1"/>
    <n v="2025"/>
    <n v="0.3"/>
  </r>
  <r>
    <x v="494"/>
    <x v="107"/>
    <x v="49"/>
    <x v="42"/>
    <s v="P103"/>
    <x v="6"/>
    <x v="0"/>
    <x v="2"/>
    <x v="2"/>
    <n v="6"/>
    <n v="1500"/>
    <n v="20"/>
    <n v="7200"/>
    <n v="6300"/>
    <n v="900"/>
    <x v="3"/>
    <s v="Returned"/>
    <x v="8"/>
    <s v="Q3"/>
    <n v="2025"/>
    <n v="0.125"/>
  </r>
  <r>
    <x v="495"/>
    <x v="226"/>
    <x v="93"/>
    <x v="65"/>
    <s v="P103"/>
    <x v="6"/>
    <x v="0"/>
    <x v="3"/>
    <x v="5"/>
    <n v="5"/>
    <n v="1500"/>
    <n v="20"/>
    <n v="6000"/>
    <n v="5250"/>
    <n v="750"/>
    <x v="1"/>
    <s v="Returned"/>
    <x v="2"/>
    <s v="Q2"/>
    <n v="2025"/>
    <n v="0.125"/>
  </r>
  <r>
    <x v="496"/>
    <x v="255"/>
    <x v="53"/>
    <x v="93"/>
    <s v="P105"/>
    <x v="5"/>
    <x v="2"/>
    <x v="3"/>
    <x v="1"/>
    <n v="8"/>
    <n v="8500"/>
    <n v="10"/>
    <n v="61200"/>
    <n v="47600"/>
    <n v="13600"/>
    <x v="0"/>
    <s v="Pending"/>
    <x v="9"/>
    <s v="Q1"/>
    <n v="2025"/>
    <n v="0.22222222222222221"/>
  </r>
  <r>
    <x v="497"/>
    <x v="208"/>
    <x v="30"/>
    <x v="61"/>
    <s v="P108"/>
    <x v="4"/>
    <x v="1"/>
    <x v="0"/>
    <x v="1"/>
    <n v="3"/>
    <n v="3200"/>
    <n v="15"/>
    <n v="8160"/>
    <n v="6720"/>
    <n v="1440"/>
    <x v="3"/>
    <s v="Returned"/>
    <x v="1"/>
    <s v="Q4"/>
    <n v="2025"/>
    <n v="0.17647058823529413"/>
  </r>
  <r>
    <x v="498"/>
    <x v="14"/>
    <x v="14"/>
    <x v="15"/>
    <s v="P102"/>
    <x v="1"/>
    <x v="0"/>
    <x v="1"/>
    <x v="2"/>
    <n v="6"/>
    <n v="800"/>
    <n v="20"/>
    <n v="3840"/>
    <n v="3360"/>
    <n v="480"/>
    <x v="2"/>
    <s v="Returned"/>
    <x v="7"/>
    <s v="Q1"/>
    <n v="2025"/>
    <n v="0.125"/>
  </r>
  <r>
    <x v="499"/>
    <x v="270"/>
    <x v="85"/>
    <x v="48"/>
    <s v="P107"/>
    <x v="0"/>
    <x v="0"/>
    <x v="0"/>
    <x v="3"/>
    <n v="1"/>
    <n v="3500"/>
    <n v="15"/>
    <n v="2975"/>
    <n v="2450"/>
    <n v="525"/>
    <x v="0"/>
    <s v="Pending"/>
    <x v="11"/>
    <s v="Q3"/>
    <n v="2025"/>
    <n v="0.17647058823529413"/>
  </r>
  <r>
    <x v="500"/>
    <x v="33"/>
    <x v="25"/>
    <x v="50"/>
    <s v="P107"/>
    <x v="0"/>
    <x v="0"/>
    <x v="3"/>
    <x v="2"/>
    <n v="4"/>
    <n v="3500"/>
    <n v="20"/>
    <n v="11200"/>
    <n v="9800"/>
    <n v="1400"/>
    <x v="0"/>
    <s v="Pending"/>
    <x v="10"/>
    <s v="Q2"/>
    <n v="2025"/>
    <n v="0.125"/>
  </r>
  <r>
    <x v="501"/>
    <x v="271"/>
    <x v="4"/>
    <x v="91"/>
    <s v="P104"/>
    <x v="7"/>
    <x v="2"/>
    <x v="3"/>
    <x v="1"/>
    <n v="8"/>
    <n v="4500"/>
    <n v="20"/>
    <n v="28800"/>
    <n v="25200"/>
    <n v="3600"/>
    <x v="0"/>
    <s v="Returned"/>
    <x v="8"/>
    <s v="Q3"/>
    <n v="2025"/>
    <n v="0.125"/>
  </r>
  <r>
    <x v="502"/>
    <x v="174"/>
    <x v="93"/>
    <x v="63"/>
    <s v="P101"/>
    <x v="2"/>
    <x v="0"/>
    <x v="2"/>
    <x v="1"/>
    <n v="9"/>
    <n v="55000"/>
    <n v="20"/>
    <n v="396000"/>
    <n v="346500"/>
    <n v="49500"/>
    <x v="3"/>
    <s v="Pending"/>
    <x v="5"/>
    <s v="Q3"/>
    <n v="2025"/>
    <n v="0.125"/>
  </r>
  <r>
    <x v="503"/>
    <x v="154"/>
    <x v="27"/>
    <x v="32"/>
    <s v="P107"/>
    <x v="0"/>
    <x v="0"/>
    <x v="0"/>
    <x v="2"/>
    <n v="2"/>
    <n v="3500"/>
    <n v="20"/>
    <n v="5600"/>
    <n v="4900"/>
    <n v="700"/>
    <x v="0"/>
    <s v="Delivered"/>
    <x v="10"/>
    <s v="Q2"/>
    <n v="2025"/>
    <n v="0.125"/>
  </r>
  <r>
    <x v="504"/>
    <x v="200"/>
    <x v="37"/>
    <x v="35"/>
    <s v="P106"/>
    <x v="3"/>
    <x v="0"/>
    <x v="1"/>
    <x v="0"/>
    <n v="1"/>
    <n v="9500"/>
    <n v="10"/>
    <n v="8550"/>
    <n v="6650"/>
    <n v="1900"/>
    <x v="2"/>
    <s v="Pending"/>
    <x v="0"/>
    <s v="Q4"/>
    <n v="2025"/>
    <n v="0.22222222222222221"/>
  </r>
  <r>
    <x v="505"/>
    <x v="195"/>
    <x v="94"/>
    <x v="25"/>
    <s v="P107"/>
    <x v="0"/>
    <x v="0"/>
    <x v="3"/>
    <x v="4"/>
    <n v="8"/>
    <n v="3500"/>
    <n v="15"/>
    <n v="23800"/>
    <n v="19600"/>
    <n v="4200"/>
    <x v="0"/>
    <s v="Delivered"/>
    <x v="9"/>
    <s v="Q1"/>
    <n v="2025"/>
    <n v="0.17647058823529413"/>
  </r>
  <r>
    <x v="506"/>
    <x v="27"/>
    <x v="99"/>
    <x v="92"/>
    <s v="P107"/>
    <x v="0"/>
    <x v="0"/>
    <x v="0"/>
    <x v="3"/>
    <n v="6"/>
    <n v="3500"/>
    <n v="0"/>
    <n v="21000"/>
    <n v="14700"/>
    <n v="6300.0000000000018"/>
    <x v="0"/>
    <s v="Returned"/>
    <x v="10"/>
    <s v="Q2"/>
    <n v="2025"/>
    <n v="0.3000000000000001"/>
  </r>
  <r>
    <x v="507"/>
    <x v="107"/>
    <x v="90"/>
    <x v="42"/>
    <s v="P106"/>
    <x v="3"/>
    <x v="0"/>
    <x v="0"/>
    <x v="3"/>
    <n v="9"/>
    <n v="9500"/>
    <n v="10"/>
    <n v="76950"/>
    <n v="59849.999999999993"/>
    <n v="17100.000000000011"/>
    <x v="1"/>
    <s v="Pending"/>
    <x v="8"/>
    <s v="Q3"/>
    <n v="2025"/>
    <n v="0.22222222222222238"/>
  </r>
  <r>
    <x v="508"/>
    <x v="119"/>
    <x v="17"/>
    <x v="27"/>
    <s v="P103"/>
    <x v="6"/>
    <x v="0"/>
    <x v="3"/>
    <x v="2"/>
    <n v="2"/>
    <n v="1500"/>
    <n v="15"/>
    <n v="2550"/>
    <n v="2100"/>
    <n v="450"/>
    <x v="2"/>
    <s v="Pending"/>
    <x v="5"/>
    <s v="Q3"/>
    <n v="2025"/>
    <n v="0.17647058823529413"/>
  </r>
  <r>
    <x v="509"/>
    <x v="223"/>
    <x v="95"/>
    <x v="83"/>
    <s v="P101"/>
    <x v="2"/>
    <x v="0"/>
    <x v="1"/>
    <x v="1"/>
    <n v="4"/>
    <n v="55000"/>
    <n v="15"/>
    <n v="187000"/>
    <n v="154000"/>
    <n v="33000"/>
    <x v="0"/>
    <s v="Returned"/>
    <x v="10"/>
    <s v="Q2"/>
    <n v="2025"/>
    <n v="0.17647058823529413"/>
  </r>
  <r>
    <x v="510"/>
    <x v="74"/>
    <x v="80"/>
    <x v="4"/>
    <s v="P105"/>
    <x v="5"/>
    <x v="2"/>
    <x v="1"/>
    <x v="5"/>
    <n v="8"/>
    <n v="8500"/>
    <n v="0"/>
    <n v="68000"/>
    <n v="47600"/>
    <n v="20400"/>
    <x v="1"/>
    <s v="Returned"/>
    <x v="0"/>
    <s v="Q4"/>
    <n v="2025"/>
    <n v="0.3"/>
  </r>
  <r>
    <x v="511"/>
    <x v="104"/>
    <x v="95"/>
    <x v="54"/>
    <s v="P105"/>
    <x v="5"/>
    <x v="2"/>
    <x v="1"/>
    <x v="1"/>
    <n v="3"/>
    <n v="8500"/>
    <n v="0"/>
    <n v="25500"/>
    <n v="17850"/>
    <n v="7650"/>
    <x v="2"/>
    <s v="Delivered"/>
    <x v="1"/>
    <s v="Q4"/>
    <n v="2025"/>
    <n v="0.3"/>
  </r>
  <r>
    <x v="512"/>
    <x v="272"/>
    <x v="37"/>
    <x v="38"/>
    <s v="P102"/>
    <x v="1"/>
    <x v="0"/>
    <x v="1"/>
    <x v="4"/>
    <n v="7"/>
    <n v="800"/>
    <n v="10"/>
    <n v="5040"/>
    <n v="3920"/>
    <n v="1120"/>
    <x v="1"/>
    <s v="Pending"/>
    <x v="10"/>
    <s v="Q2"/>
    <n v="2025"/>
    <n v="0.22222222222222221"/>
  </r>
  <r>
    <x v="513"/>
    <x v="28"/>
    <x v="22"/>
    <x v="18"/>
    <s v="P105"/>
    <x v="5"/>
    <x v="2"/>
    <x v="3"/>
    <x v="1"/>
    <n v="9"/>
    <n v="8500"/>
    <n v="15"/>
    <n v="65025"/>
    <n v="53550"/>
    <n v="11475"/>
    <x v="2"/>
    <s v="Delivered"/>
    <x v="9"/>
    <s v="Q1"/>
    <n v="2025"/>
    <n v="0.17647058823529413"/>
  </r>
  <r>
    <x v="514"/>
    <x v="222"/>
    <x v="72"/>
    <x v="64"/>
    <s v="P101"/>
    <x v="2"/>
    <x v="0"/>
    <x v="3"/>
    <x v="2"/>
    <n v="5"/>
    <n v="55000"/>
    <n v="0"/>
    <n v="275000"/>
    <n v="192500"/>
    <n v="82500"/>
    <x v="3"/>
    <s v="Returned"/>
    <x v="0"/>
    <s v="Q4"/>
    <n v="2025"/>
    <n v="0.3"/>
  </r>
  <r>
    <x v="515"/>
    <x v="197"/>
    <x v="0"/>
    <x v="78"/>
    <s v="P104"/>
    <x v="7"/>
    <x v="2"/>
    <x v="1"/>
    <x v="2"/>
    <n v="5"/>
    <n v="4500"/>
    <n v="15"/>
    <n v="19125"/>
    <n v="15750"/>
    <n v="3375.0000000000018"/>
    <x v="3"/>
    <s v="Pending"/>
    <x v="10"/>
    <s v="Q2"/>
    <n v="2025"/>
    <n v="0.17647058823529421"/>
  </r>
  <r>
    <x v="516"/>
    <x v="194"/>
    <x v="15"/>
    <x v="54"/>
    <s v="P108"/>
    <x v="4"/>
    <x v="1"/>
    <x v="0"/>
    <x v="1"/>
    <n v="8"/>
    <n v="3200"/>
    <n v="20"/>
    <n v="20480"/>
    <n v="17920"/>
    <n v="2560"/>
    <x v="2"/>
    <s v="Delivered"/>
    <x v="3"/>
    <s v="Q1"/>
    <n v="2025"/>
    <n v="0.125"/>
  </r>
  <r>
    <x v="517"/>
    <x v="273"/>
    <x v="37"/>
    <x v="43"/>
    <s v="P101"/>
    <x v="2"/>
    <x v="0"/>
    <x v="2"/>
    <x v="5"/>
    <n v="8"/>
    <n v="55000"/>
    <n v="20"/>
    <n v="352000"/>
    <n v="308000"/>
    <n v="44000"/>
    <x v="2"/>
    <s v="Pending"/>
    <x v="7"/>
    <s v="Q1"/>
    <n v="2025"/>
    <n v="0.125"/>
  </r>
  <r>
    <x v="518"/>
    <x v="196"/>
    <x v="6"/>
    <x v="46"/>
    <s v="P103"/>
    <x v="6"/>
    <x v="0"/>
    <x v="3"/>
    <x v="4"/>
    <n v="3"/>
    <n v="1500"/>
    <n v="10"/>
    <n v="4050"/>
    <n v="3150"/>
    <n v="900"/>
    <x v="1"/>
    <s v="Returned"/>
    <x v="5"/>
    <s v="Q3"/>
    <n v="2025"/>
    <n v="0.22222222222222221"/>
  </r>
  <r>
    <x v="519"/>
    <x v="260"/>
    <x v="48"/>
    <x v="30"/>
    <s v="P104"/>
    <x v="7"/>
    <x v="2"/>
    <x v="2"/>
    <x v="2"/>
    <n v="7"/>
    <n v="4500"/>
    <n v="10"/>
    <n v="28350"/>
    <n v="22050"/>
    <n v="6300"/>
    <x v="1"/>
    <s v="Delivered"/>
    <x v="9"/>
    <s v="Q1"/>
    <n v="2025"/>
    <n v="0.22222222222222221"/>
  </r>
  <r>
    <x v="520"/>
    <x v="155"/>
    <x v="55"/>
    <x v="71"/>
    <s v="P105"/>
    <x v="5"/>
    <x v="2"/>
    <x v="2"/>
    <x v="1"/>
    <n v="2"/>
    <n v="8500"/>
    <n v="10"/>
    <n v="15300"/>
    <n v="11900"/>
    <n v="3400"/>
    <x v="2"/>
    <s v="Delivered"/>
    <x v="1"/>
    <s v="Q4"/>
    <n v="2025"/>
    <n v="0.22222222222222221"/>
  </r>
  <r>
    <x v="521"/>
    <x v="274"/>
    <x v="29"/>
    <x v="78"/>
    <s v="P102"/>
    <x v="1"/>
    <x v="0"/>
    <x v="1"/>
    <x v="2"/>
    <n v="2"/>
    <n v="800"/>
    <n v="20"/>
    <n v="1280"/>
    <n v="1120"/>
    <n v="160"/>
    <x v="3"/>
    <s v="Returned"/>
    <x v="2"/>
    <s v="Q2"/>
    <n v="2025"/>
    <n v="0.125"/>
  </r>
  <r>
    <x v="522"/>
    <x v="24"/>
    <x v="23"/>
    <x v="97"/>
    <s v="P108"/>
    <x v="4"/>
    <x v="1"/>
    <x v="3"/>
    <x v="2"/>
    <n v="9"/>
    <n v="3200"/>
    <n v="15"/>
    <n v="24480"/>
    <n v="20160"/>
    <n v="4320"/>
    <x v="0"/>
    <s v="Returned"/>
    <x v="2"/>
    <s v="Q2"/>
    <n v="2025"/>
    <n v="0.17647058823529413"/>
  </r>
  <r>
    <x v="523"/>
    <x v="140"/>
    <x v="24"/>
    <x v="14"/>
    <s v="P103"/>
    <x v="6"/>
    <x v="0"/>
    <x v="0"/>
    <x v="5"/>
    <n v="10"/>
    <n v="1500"/>
    <n v="5"/>
    <n v="14250"/>
    <n v="10500"/>
    <n v="3750"/>
    <x v="2"/>
    <s v="Returned"/>
    <x v="1"/>
    <s v="Q4"/>
    <n v="2025"/>
    <n v="0.26315789473684209"/>
  </r>
  <r>
    <x v="524"/>
    <x v="275"/>
    <x v="86"/>
    <x v="4"/>
    <s v="P105"/>
    <x v="5"/>
    <x v="2"/>
    <x v="2"/>
    <x v="0"/>
    <n v="7"/>
    <n v="8500"/>
    <n v="5"/>
    <n v="56525"/>
    <n v="41650"/>
    <n v="14875"/>
    <x v="0"/>
    <s v="Delivered"/>
    <x v="2"/>
    <s v="Q2"/>
    <n v="2025"/>
    <n v="0.26315789473684209"/>
  </r>
  <r>
    <x v="525"/>
    <x v="19"/>
    <x v="43"/>
    <x v="24"/>
    <s v="P102"/>
    <x v="1"/>
    <x v="0"/>
    <x v="0"/>
    <x v="3"/>
    <n v="2"/>
    <n v="800"/>
    <n v="10"/>
    <n v="1440"/>
    <n v="1120"/>
    <n v="320"/>
    <x v="2"/>
    <s v="Returned"/>
    <x v="9"/>
    <s v="Q1"/>
    <n v="2025"/>
    <n v="0.22222222222222221"/>
  </r>
  <r>
    <x v="526"/>
    <x v="276"/>
    <x v="99"/>
    <x v="76"/>
    <s v="P105"/>
    <x v="5"/>
    <x v="2"/>
    <x v="1"/>
    <x v="3"/>
    <n v="7"/>
    <n v="8500"/>
    <n v="5"/>
    <n v="56525"/>
    <n v="41650"/>
    <n v="14875"/>
    <x v="0"/>
    <s v="Delivered"/>
    <x v="2"/>
    <s v="Q2"/>
    <n v="2025"/>
    <n v="0.26315789473684209"/>
  </r>
  <r>
    <x v="527"/>
    <x v="68"/>
    <x v="76"/>
    <x v="2"/>
    <s v="P105"/>
    <x v="5"/>
    <x v="2"/>
    <x v="2"/>
    <x v="3"/>
    <n v="8"/>
    <n v="8500"/>
    <n v="5"/>
    <n v="64600"/>
    <n v="47600"/>
    <n v="17000"/>
    <x v="0"/>
    <s v="Returned"/>
    <x v="5"/>
    <s v="Q3"/>
    <n v="2025"/>
    <n v="0.26315789473684209"/>
  </r>
  <r>
    <x v="528"/>
    <x v="144"/>
    <x v="63"/>
    <x v="8"/>
    <s v="P103"/>
    <x v="6"/>
    <x v="0"/>
    <x v="3"/>
    <x v="3"/>
    <n v="8"/>
    <n v="1500"/>
    <n v="15"/>
    <n v="10200"/>
    <n v="8400"/>
    <n v="1800"/>
    <x v="3"/>
    <s v="Delivered"/>
    <x v="7"/>
    <s v="Q1"/>
    <n v="2025"/>
    <n v="0.17647058823529413"/>
  </r>
  <r>
    <x v="529"/>
    <x v="102"/>
    <x v="9"/>
    <x v="39"/>
    <s v="P106"/>
    <x v="3"/>
    <x v="0"/>
    <x v="0"/>
    <x v="2"/>
    <n v="3"/>
    <n v="9500"/>
    <n v="10"/>
    <n v="25650"/>
    <n v="19950"/>
    <n v="5700"/>
    <x v="3"/>
    <s v="Returned"/>
    <x v="1"/>
    <s v="Q4"/>
    <n v="2025"/>
    <n v="0.22222222222222221"/>
  </r>
  <r>
    <x v="530"/>
    <x v="134"/>
    <x v="10"/>
    <x v="94"/>
    <s v="P101"/>
    <x v="2"/>
    <x v="0"/>
    <x v="2"/>
    <x v="1"/>
    <n v="8"/>
    <n v="55000"/>
    <n v="10"/>
    <n v="396000"/>
    <n v="308000"/>
    <n v="88000"/>
    <x v="1"/>
    <s v="Returned"/>
    <x v="1"/>
    <s v="Q4"/>
    <n v="2025"/>
    <n v="0.22222222222222221"/>
  </r>
  <r>
    <x v="531"/>
    <x v="277"/>
    <x v="9"/>
    <x v="81"/>
    <s v="P105"/>
    <x v="5"/>
    <x v="2"/>
    <x v="3"/>
    <x v="3"/>
    <n v="10"/>
    <n v="8500"/>
    <n v="20"/>
    <n v="68000"/>
    <n v="59499.999999999993"/>
    <n v="8500.0000000000073"/>
    <x v="1"/>
    <s v="Returned"/>
    <x v="6"/>
    <s v="Q2"/>
    <n v="2025"/>
    <n v="0.12500000000000011"/>
  </r>
  <r>
    <x v="532"/>
    <x v="51"/>
    <x v="86"/>
    <x v="20"/>
    <s v="P102"/>
    <x v="1"/>
    <x v="0"/>
    <x v="1"/>
    <x v="4"/>
    <n v="2"/>
    <n v="800"/>
    <n v="0"/>
    <n v="1600"/>
    <n v="1120"/>
    <n v="480"/>
    <x v="1"/>
    <s v="Returned"/>
    <x v="4"/>
    <s v="Q4"/>
    <n v="2025"/>
    <n v="0.3"/>
  </r>
  <r>
    <x v="533"/>
    <x v="278"/>
    <x v="99"/>
    <x v="13"/>
    <s v="P107"/>
    <x v="0"/>
    <x v="0"/>
    <x v="0"/>
    <x v="3"/>
    <n v="1"/>
    <n v="3500"/>
    <n v="15"/>
    <n v="2975"/>
    <n v="2450"/>
    <n v="525"/>
    <x v="1"/>
    <s v="Delivered"/>
    <x v="2"/>
    <s v="Q2"/>
    <n v="2025"/>
    <n v="0.17647058823529413"/>
  </r>
  <r>
    <x v="534"/>
    <x v="108"/>
    <x v="21"/>
    <x v="27"/>
    <s v="P101"/>
    <x v="2"/>
    <x v="0"/>
    <x v="2"/>
    <x v="5"/>
    <n v="10"/>
    <n v="55000"/>
    <n v="15"/>
    <n v="467500"/>
    <n v="385000"/>
    <n v="82500"/>
    <x v="2"/>
    <s v="Delivered"/>
    <x v="1"/>
    <s v="Q4"/>
    <n v="2025"/>
    <n v="0.17647058823529413"/>
  </r>
  <r>
    <x v="535"/>
    <x v="15"/>
    <x v="0"/>
    <x v="19"/>
    <s v="P106"/>
    <x v="3"/>
    <x v="0"/>
    <x v="0"/>
    <x v="0"/>
    <n v="10"/>
    <n v="9500"/>
    <n v="0"/>
    <n v="95000"/>
    <n v="66500"/>
    <n v="28500"/>
    <x v="2"/>
    <s v="Pending"/>
    <x v="8"/>
    <s v="Q3"/>
    <n v="2025"/>
    <n v="0.3"/>
  </r>
  <r>
    <x v="536"/>
    <x v="45"/>
    <x v="45"/>
    <x v="32"/>
    <s v="P103"/>
    <x v="6"/>
    <x v="0"/>
    <x v="1"/>
    <x v="1"/>
    <n v="4"/>
    <n v="1500"/>
    <n v="5"/>
    <n v="5700"/>
    <n v="4200"/>
    <n v="1500"/>
    <x v="2"/>
    <s v="Returned"/>
    <x v="10"/>
    <s v="Q2"/>
    <n v="2025"/>
    <n v="0.26315789473684209"/>
  </r>
  <r>
    <x v="537"/>
    <x v="132"/>
    <x v="93"/>
    <x v="55"/>
    <s v="P101"/>
    <x v="2"/>
    <x v="0"/>
    <x v="0"/>
    <x v="1"/>
    <n v="1"/>
    <n v="55000"/>
    <n v="15"/>
    <n v="46750"/>
    <n v="38500"/>
    <n v="8250"/>
    <x v="0"/>
    <s v="Delivered"/>
    <x v="3"/>
    <s v="Q1"/>
    <n v="2025"/>
    <n v="0.17647058823529413"/>
  </r>
  <r>
    <x v="538"/>
    <x v="127"/>
    <x v="19"/>
    <x v="88"/>
    <s v="P108"/>
    <x v="4"/>
    <x v="1"/>
    <x v="0"/>
    <x v="0"/>
    <n v="10"/>
    <n v="3200"/>
    <n v="15"/>
    <n v="27200"/>
    <n v="22400"/>
    <n v="4800"/>
    <x v="1"/>
    <s v="Pending"/>
    <x v="11"/>
    <s v="Q3"/>
    <n v="2025"/>
    <n v="0.17647058823529413"/>
  </r>
  <r>
    <x v="539"/>
    <x v="250"/>
    <x v="34"/>
    <x v="77"/>
    <s v="P102"/>
    <x v="1"/>
    <x v="0"/>
    <x v="1"/>
    <x v="5"/>
    <n v="1"/>
    <n v="800"/>
    <n v="5"/>
    <n v="760"/>
    <n v="560"/>
    <n v="200"/>
    <x v="1"/>
    <s v="Delivered"/>
    <x v="0"/>
    <s v="Q4"/>
    <n v="2025"/>
    <n v="0.26315789473684209"/>
  </r>
  <r>
    <x v="540"/>
    <x v="101"/>
    <x v="63"/>
    <x v="0"/>
    <s v="P104"/>
    <x v="7"/>
    <x v="2"/>
    <x v="2"/>
    <x v="3"/>
    <n v="8"/>
    <n v="4500"/>
    <n v="15"/>
    <n v="30600"/>
    <n v="25200"/>
    <n v="5400"/>
    <x v="1"/>
    <s v="Returned"/>
    <x v="0"/>
    <s v="Q4"/>
    <n v="2025"/>
    <n v="0.17647058823529413"/>
  </r>
  <r>
    <x v="541"/>
    <x v="133"/>
    <x v="32"/>
    <x v="66"/>
    <s v="P108"/>
    <x v="4"/>
    <x v="1"/>
    <x v="2"/>
    <x v="5"/>
    <n v="3"/>
    <n v="3200"/>
    <n v="5"/>
    <n v="9120"/>
    <n v="6720"/>
    <n v="2400"/>
    <x v="2"/>
    <s v="Pending"/>
    <x v="6"/>
    <s v="Q2"/>
    <n v="2025"/>
    <n v="0.26315789473684209"/>
  </r>
  <r>
    <x v="542"/>
    <x v="245"/>
    <x v="75"/>
    <x v="94"/>
    <s v="P104"/>
    <x v="7"/>
    <x v="2"/>
    <x v="3"/>
    <x v="5"/>
    <n v="2"/>
    <n v="4500"/>
    <n v="15"/>
    <n v="7650"/>
    <n v="6300"/>
    <n v="1350"/>
    <x v="2"/>
    <s v="Pending"/>
    <x v="8"/>
    <s v="Q3"/>
    <n v="2025"/>
    <n v="0.17647058823529413"/>
  </r>
  <r>
    <x v="543"/>
    <x v="160"/>
    <x v="99"/>
    <x v="91"/>
    <s v="P106"/>
    <x v="3"/>
    <x v="0"/>
    <x v="3"/>
    <x v="2"/>
    <n v="5"/>
    <n v="9500"/>
    <n v="15"/>
    <n v="40375"/>
    <n v="33250"/>
    <n v="7125"/>
    <x v="3"/>
    <s v="Pending"/>
    <x v="1"/>
    <s v="Q4"/>
    <n v="2025"/>
    <n v="0.17647058823529413"/>
  </r>
  <r>
    <x v="544"/>
    <x v="279"/>
    <x v="92"/>
    <x v="33"/>
    <s v="P105"/>
    <x v="5"/>
    <x v="2"/>
    <x v="3"/>
    <x v="1"/>
    <n v="7"/>
    <n v="8500"/>
    <n v="0"/>
    <n v="59500"/>
    <n v="41650"/>
    <n v="17850"/>
    <x v="1"/>
    <s v="Delivered"/>
    <x v="6"/>
    <s v="Q2"/>
    <n v="2025"/>
    <n v="0.3"/>
  </r>
  <r>
    <x v="545"/>
    <x v="218"/>
    <x v="35"/>
    <x v="58"/>
    <s v="P107"/>
    <x v="0"/>
    <x v="0"/>
    <x v="3"/>
    <x v="1"/>
    <n v="1"/>
    <n v="3500"/>
    <n v="0"/>
    <n v="3500"/>
    <n v="2450"/>
    <n v="1050"/>
    <x v="0"/>
    <s v="Returned"/>
    <x v="10"/>
    <s v="Q2"/>
    <n v="2025"/>
    <n v="0.3"/>
  </r>
  <r>
    <x v="546"/>
    <x v="215"/>
    <x v="62"/>
    <x v="52"/>
    <s v="P101"/>
    <x v="2"/>
    <x v="0"/>
    <x v="1"/>
    <x v="2"/>
    <n v="7"/>
    <n v="55000"/>
    <n v="5"/>
    <n v="365750"/>
    <n v="269500"/>
    <n v="96250"/>
    <x v="2"/>
    <s v="Returned"/>
    <x v="4"/>
    <s v="Q4"/>
    <n v="2025"/>
    <n v="0.26315789473684209"/>
  </r>
  <r>
    <x v="547"/>
    <x v="214"/>
    <x v="24"/>
    <x v="28"/>
    <s v="P101"/>
    <x v="2"/>
    <x v="0"/>
    <x v="2"/>
    <x v="4"/>
    <n v="3"/>
    <n v="55000"/>
    <n v="10"/>
    <n v="148500"/>
    <n v="115500"/>
    <n v="33000.000000000007"/>
    <x v="3"/>
    <s v="Delivered"/>
    <x v="4"/>
    <s v="Q4"/>
    <n v="2025"/>
    <n v="0.22222222222222227"/>
  </r>
  <r>
    <x v="548"/>
    <x v="230"/>
    <x v="66"/>
    <x v="81"/>
    <s v="P104"/>
    <x v="7"/>
    <x v="2"/>
    <x v="2"/>
    <x v="4"/>
    <n v="3"/>
    <n v="4500"/>
    <n v="20"/>
    <n v="10800"/>
    <n v="9450"/>
    <n v="1350"/>
    <x v="3"/>
    <s v="Delivered"/>
    <x v="3"/>
    <s v="Q1"/>
    <n v="2025"/>
    <n v="0.125"/>
  </r>
  <r>
    <x v="549"/>
    <x v="280"/>
    <x v="17"/>
    <x v="34"/>
    <s v="P106"/>
    <x v="3"/>
    <x v="0"/>
    <x v="2"/>
    <x v="1"/>
    <n v="9"/>
    <n v="9500"/>
    <n v="5"/>
    <n v="81225"/>
    <n v="59849.999999999993"/>
    <n v="21375.000000000011"/>
    <x v="3"/>
    <s v="Pending"/>
    <x v="6"/>
    <s v="Q2"/>
    <n v="2025"/>
    <n v="0.26315789473684226"/>
  </r>
  <r>
    <x v="550"/>
    <x v="16"/>
    <x v="80"/>
    <x v="74"/>
    <s v="P103"/>
    <x v="6"/>
    <x v="0"/>
    <x v="2"/>
    <x v="1"/>
    <n v="3"/>
    <n v="1500"/>
    <n v="0"/>
    <n v="4500"/>
    <n v="3150"/>
    <n v="1350"/>
    <x v="3"/>
    <s v="Pending"/>
    <x v="1"/>
    <s v="Q4"/>
    <n v="2025"/>
    <n v="0.3"/>
  </r>
  <r>
    <x v="551"/>
    <x v="190"/>
    <x v="64"/>
    <x v="72"/>
    <s v="P105"/>
    <x v="5"/>
    <x v="2"/>
    <x v="3"/>
    <x v="5"/>
    <n v="9"/>
    <n v="8500"/>
    <n v="0"/>
    <n v="76500"/>
    <n v="53550"/>
    <n v="22950"/>
    <x v="1"/>
    <s v="Returned"/>
    <x v="9"/>
    <s v="Q1"/>
    <n v="2025"/>
    <n v="0.3"/>
  </r>
  <r>
    <x v="552"/>
    <x v="14"/>
    <x v="86"/>
    <x v="9"/>
    <s v="P103"/>
    <x v="6"/>
    <x v="0"/>
    <x v="2"/>
    <x v="3"/>
    <n v="5"/>
    <n v="1500"/>
    <n v="0"/>
    <n v="7500"/>
    <n v="5250"/>
    <n v="2250"/>
    <x v="1"/>
    <s v="Delivered"/>
    <x v="7"/>
    <s v="Q1"/>
    <n v="2025"/>
    <n v="0.3"/>
  </r>
  <r>
    <x v="553"/>
    <x v="163"/>
    <x v="20"/>
    <x v="66"/>
    <s v="P104"/>
    <x v="7"/>
    <x v="2"/>
    <x v="1"/>
    <x v="2"/>
    <n v="10"/>
    <n v="4500"/>
    <n v="10"/>
    <n v="40500"/>
    <n v="31500"/>
    <n v="9000.0000000000036"/>
    <x v="1"/>
    <s v="Returned"/>
    <x v="4"/>
    <s v="Q4"/>
    <n v="2025"/>
    <n v="0.22222222222222232"/>
  </r>
  <r>
    <x v="554"/>
    <x v="258"/>
    <x v="25"/>
    <x v="23"/>
    <s v="P101"/>
    <x v="2"/>
    <x v="0"/>
    <x v="0"/>
    <x v="3"/>
    <n v="2"/>
    <n v="55000"/>
    <n v="20"/>
    <n v="88000"/>
    <n v="77000"/>
    <n v="11000"/>
    <x v="1"/>
    <s v="Pending"/>
    <x v="3"/>
    <s v="Q1"/>
    <n v="2025"/>
    <n v="0.125"/>
  </r>
  <r>
    <x v="555"/>
    <x v="264"/>
    <x v="80"/>
    <x v="43"/>
    <s v="P101"/>
    <x v="2"/>
    <x v="0"/>
    <x v="3"/>
    <x v="0"/>
    <n v="6"/>
    <n v="55000"/>
    <n v="0"/>
    <n v="330000"/>
    <n v="231000"/>
    <n v="99000.000000000029"/>
    <x v="0"/>
    <s v="Returned"/>
    <x v="11"/>
    <s v="Q3"/>
    <n v="2025"/>
    <n v="0.3000000000000001"/>
  </r>
  <r>
    <x v="556"/>
    <x v="20"/>
    <x v="24"/>
    <x v="11"/>
    <s v="P104"/>
    <x v="7"/>
    <x v="2"/>
    <x v="1"/>
    <x v="1"/>
    <n v="6"/>
    <n v="4500"/>
    <n v="0"/>
    <n v="27000"/>
    <n v="18900"/>
    <n v="8100"/>
    <x v="3"/>
    <s v="Delivered"/>
    <x v="7"/>
    <s v="Q1"/>
    <n v="2025"/>
    <n v="0.3"/>
  </r>
  <r>
    <x v="557"/>
    <x v="281"/>
    <x v="74"/>
    <x v="77"/>
    <s v="P103"/>
    <x v="6"/>
    <x v="0"/>
    <x v="2"/>
    <x v="5"/>
    <n v="10"/>
    <n v="1500"/>
    <n v="0"/>
    <n v="15000"/>
    <n v="10500"/>
    <n v="4500"/>
    <x v="3"/>
    <s v="Delivered"/>
    <x v="11"/>
    <s v="Q3"/>
    <n v="2025"/>
    <n v="0.3"/>
  </r>
  <r>
    <x v="558"/>
    <x v="282"/>
    <x v="4"/>
    <x v="59"/>
    <s v="P108"/>
    <x v="4"/>
    <x v="1"/>
    <x v="1"/>
    <x v="0"/>
    <n v="6"/>
    <n v="3200"/>
    <n v="0"/>
    <n v="19200"/>
    <n v="13440"/>
    <n v="5760"/>
    <x v="3"/>
    <s v="Pending"/>
    <x v="11"/>
    <s v="Q3"/>
    <n v="2025"/>
    <n v="0.3"/>
  </r>
  <r>
    <x v="559"/>
    <x v="152"/>
    <x v="47"/>
    <x v="2"/>
    <s v="P101"/>
    <x v="2"/>
    <x v="0"/>
    <x v="1"/>
    <x v="1"/>
    <n v="1"/>
    <n v="55000"/>
    <n v="0"/>
    <n v="55000"/>
    <n v="38500"/>
    <n v="16500"/>
    <x v="1"/>
    <s v="Pending"/>
    <x v="11"/>
    <s v="Q3"/>
    <n v="2025"/>
    <n v="0.3"/>
  </r>
  <r>
    <x v="560"/>
    <x v="10"/>
    <x v="46"/>
    <x v="80"/>
    <s v="P108"/>
    <x v="4"/>
    <x v="1"/>
    <x v="2"/>
    <x v="0"/>
    <n v="10"/>
    <n v="3200"/>
    <n v="5"/>
    <n v="30400"/>
    <n v="22400"/>
    <n v="8000"/>
    <x v="2"/>
    <s v="Returned"/>
    <x v="6"/>
    <s v="Q2"/>
    <n v="2025"/>
    <n v="0.26315789473684209"/>
  </r>
  <r>
    <x v="561"/>
    <x v="283"/>
    <x v="33"/>
    <x v="74"/>
    <s v="P108"/>
    <x v="4"/>
    <x v="1"/>
    <x v="0"/>
    <x v="3"/>
    <n v="6"/>
    <n v="3200"/>
    <n v="15"/>
    <n v="16320"/>
    <n v="13440"/>
    <n v="2880"/>
    <x v="2"/>
    <s v="Pending"/>
    <x v="9"/>
    <s v="Q1"/>
    <n v="2025"/>
    <n v="0.17647058823529413"/>
  </r>
  <r>
    <x v="562"/>
    <x v="245"/>
    <x v="71"/>
    <x v="24"/>
    <s v="P108"/>
    <x v="4"/>
    <x v="1"/>
    <x v="2"/>
    <x v="5"/>
    <n v="6"/>
    <n v="3200"/>
    <n v="0"/>
    <n v="19200"/>
    <n v="13440"/>
    <n v="5760"/>
    <x v="0"/>
    <s v="Delivered"/>
    <x v="8"/>
    <s v="Q3"/>
    <n v="2025"/>
    <n v="0.3"/>
  </r>
  <r>
    <x v="563"/>
    <x v="284"/>
    <x v="24"/>
    <x v="79"/>
    <s v="P106"/>
    <x v="3"/>
    <x v="0"/>
    <x v="0"/>
    <x v="4"/>
    <n v="6"/>
    <n v="9500"/>
    <n v="5"/>
    <n v="54150"/>
    <n v="39900"/>
    <n v="14250"/>
    <x v="0"/>
    <s v="Returned"/>
    <x v="9"/>
    <s v="Q1"/>
    <n v="2025"/>
    <n v="0.26315789473684209"/>
  </r>
  <r>
    <x v="564"/>
    <x v="99"/>
    <x v="51"/>
    <x v="81"/>
    <s v="P102"/>
    <x v="1"/>
    <x v="0"/>
    <x v="1"/>
    <x v="4"/>
    <n v="2"/>
    <n v="800"/>
    <n v="15"/>
    <n v="1360"/>
    <n v="1120"/>
    <n v="240"/>
    <x v="1"/>
    <s v="Pending"/>
    <x v="2"/>
    <s v="Q2"/>
    <n v="2025"/>
    <n v="0.17647058823529413"/>
  </r>
  <r>
    <x v="565"/>
    <x v="285"/>
    <x v="89"/>
    <x v="38"/>
    <s v="P105"/>
    <x v="5"/>
    <x v="2"/>
    <x v="1"/>
    <x v="4"/>
    <n v="9"/>
    <n v="8500"/>
    <n v="20"/>
    <n v="61200"/>
    <n v="53550"/>
    <n v="7650"/>
    <x v="3"/>
    <s v="Delivered"/>
    <x v="5"/>
    <s v="Q3"/>
    <n v="2025"/>
    <n v="0.125"/>
  </r>
  <r>
    <x v="566"/>
    <x v="200"/>
    <x v="48"/>
    <x v="87"/>
    <s v="P106"/>
    <x v="3"/>
    <x v="0"/>
    <x v="1"/>
    <x v="0"/>
    <n v="7"/>
    <n v="9500"/>
    <n v="15"/>
    <n v="56525"/>
    <n v="46550"/>
    <n v="9975"/>
    <x v="2"/>
    <s v="Pending"/>
    <x v="0"/>
    <s v="Q4"/>
    <n v="2025"/>
    <n v="0.17647058823529413"/>
  </r>
  <r>
    <x v="567"/>
    <x v="15"/>
    <x v="52"/>
    <x v="33"/>
    <s v="P106"/>
    <x v="3"/>
    <x v="0"/>
    <x v="3"/>
    <x v="3"/>
    <n v="10"/>
    <n v="9500"/>
    <n v="20"/>
    <n v="76000"/>
    <n v="66500"/>
    <n v="9500"/>
    <x v="0"/>
    <s v="Pending"/>
    <x v="8"/>
    <s v="Q3"/>
    <n v="2025"/>
    <n v="0.125"/>
  </r>
  <r>
    <x v="568"/>
    <x v="135"/>
    <x v="97"/>
    <x v="35"/>
    <s v="P105"/>
    <x v="5"/>
    <x v="2"/>
    <x v="3"/>
    <x v="0"/>
    <n v="9"/>
    <n v="8500"/>
    <n v="0"/>
    <n v="76500"/>
    <n v="53550"/>
    <n v="22950"/>
    <x v="0"/>
    <s v="Delivered"/>
    <x v="7"/>
    <s v="Q1"/>
    <n v="2025"/>
    <n v="0.3"/>
  </r>
  <r>
    <x v="569"/>
    <x v="193"/>
    <x v="86"/>
    <x v="53"/>
    <s v="P106"/>
    <x v="3"/>
    <x v="0"/>
    <x v="0"/>
    <x v="3"/>
    <n v="3"/>
    <n v="9500"/>
    <n v="10"/>
    <n v="25650"/>
    <n v="19950"/>
    <n v="5700"/>
    <x v="3"/>
    <s v="Pending"/>
    <x v="6"/>
    <s v="Q2"/>
    <n v="2025"/>
    <n v="0.22222222222222221"/>
  </r>
  <r>
    <x v="570"/>
    <x v="286"/>
    <x v="32"/>
    <x v="7"/>
    <s v="P106"/>
    <x v="3"/>
    <x v="0"/>
    <x v="3"/>
    <x v="3"/>
    <n v="7"/>
    <n v="9500"/>
    <n v="0"/>
    <n v="66500"/>
    <n v="46550"/>
    <n v="19950"/>
    <x v="0"/>
    <s v="Returned"/>
    <x v="9"/>
    <s v="Q1"/>
    <n v="2025"/>
    <n v="0.3"/>
  </r>
  <r>
    <x v="571"/>
    <x v="175"/>
    <x v="36"/>
    <x v="33"/>
    <s v="P104"/>
    <x v="7"/>
    <x v="2"/>
    <x v="3"/>
    <x v="5"/>
    <n v="3"/>
    <n v="4500"/>
    <n v="0"/>
    <n v="13500"/>
    <n v="9450"/>
    <n v="4050"/>
    <x v="2"/>
    <s v="Delivered"/>
    <x v="1"/>
    <s v="Q4"/>
    <n v="2025"/>
    <n v="0.3"/>
  </r>
  <r>
    <x v="572"/>
    <x v="111"/>
    <x v="26"/>
    <x v="69"/>
    <s v="P103"/>
    <x v="6"/>
    <x v="0"/>
    <x v="2"/>
    <x v="3"/>
    <n v="1"/>
    <n v="1500"/>
    <n v="5"/>
    <n v="1425"/>
    <n v="1050"/>
    <n v="375"/>
    <x v="0"/>
    <s v="Delivered"/>
    <x v="8"/>
    <s v="Q3"/>
    <n v="2025"/>
    <n v="0.26315789473684209"/>
  </r>
  <r>
    <x v="573"/>
    <x v="143"/>
    <x v="70"/>
    <x v="33"/>
    <s v="P106"/>
    <x v="3"/>
    <x v="0"/>
    <x v="2"/>
    <x v="2"/>
    <n v="7"/>
    <n v="9500"/>
    <n v="20"/>
    <n v="53200"/>
    <n v="46550"/>
    <n v="6650"/>
    <x v="1"/>
    <s v="Delivered"/>
    <x v="3"/>
    <s v="Q1"/>
    <n v="2025"/>
    <n v="0.125"/>
  </r>
  <r>
    <x v="574"/>
    <x v="286"/>
    <x v="40"/>
    <x v="79"/>
    <s v="P103"/>
    <x v="6"/>
    <x v="0"/>
    <x v="2"/>
    <x v="4"/>
    <n v="2"/>
    <n v="1500"/>
    <n v="0"/>
    <n v="3000"/>
    <n v="2100"/>
    <n v="900"/>
    <x v="2"/>
    <s v="Pending"/>
    <x v="9"/>
    <s v="Q1"/>
    <n v="2025"/>
    <n v="0.3"/>
  </r>
  <r>
    <x v="575"/>
    <x v="218"/>
    <x v="54"/>
    <x v="84"/>
    <s v="P107"/>
    <x v="0"/>
    <x v="0"/>
    <x v="0"/>
    <x v="0"/>
    <n v="1"/>
    <n v="3500"/>
    <n v="20"/>
    <n v="2800"/>
    <n v="2450"/>
    <n v="350"/>
    <x v="0"/>
    <s v="Delivered"/>
    <x v="10"/>
    <s v="Q2"/>
    <n v="2025"/>
    <n v="0.125"/>
  </r>
  <r>
    <x v="576"/>
    <x v="2"/>
    <x v="14"/>
    <x v="77"/>
    <s v="P104"/>
    <x v="7"/>
    <x v="2"/>
    <x v="1"/>
    <x v="1"/>
    <n v="10"/>
    <n v="4500"/>
    <n v="15"/>
    <n v="38250"/>
    <n v="31500"/>
    <n v="6750.0000000000036"/>
    <x v="0"/>
    <s v="Returned"/>
    <x v="2"/>
    <s v="Q2"/>
    <n v="2025"/>
    <n v="0.17647058823529421"/>
  </r>
  <r>
    <x v="577"/>
    <x v="164"/>
    <x v="33"/>
    <x v="72"/>
    <s v="P101"/>
    <x v="2"/>
    <x v="0"/>
    <x v="2"/>
    <x v="0"/>
    <n v="10"/>
    <n v="55000"/>
    <n v="10"/>
    <n v="495000"/>
    <n v="385000"/>
    <n v="110000"/>
    <x v="3"/>
    <s v="Returned"/>
    <x v="11"/>
    <s v="Q3"/>
    <n v="2025"/>
    <n v="0.22222222222222221"/>
  </r>
  <r>
    <x v="578"/>
    <x v="287"/>
    <x v="43"/>
    <x v="42"/>
    <s v="P101"/>
    <x v="2"/>
    <x v="0"/>
    <x v="2"/>
    <x v="0"/>
    <n v="9"/>
    <n v="55000"/>
    <n v="15"/>
    <n v="420750"/>
    <n v="346500"/>
    <n v="74250"/>
    <x v="3"/>
    <s v="Delivered"/>
    <x v="2"/>
    <s v="Q2"/>
    <n v="2025"/>
    <n v="0.17647058823529413"/>
  </r>
  <r>
    <x v="579"/>
    <x v="274"/>
    <x v="59"/>
    <x v="12"/>
    <s v="P102"/>
    <x v="1"/>
    <x v="0"/>
    <x v="3"/>
    <x v="5"/>
    <n v="10"/>
    <n v="800"/>
    <n v="15"/>
    <n v="6800"/>
    <n v="5600"/>
    <n v="1200"/>
    <x v="3"/>
    <s v="Delivered"/>
    <x v="2"/>
    <s v="Q2"/>
    <n v="2025"/>
    <n v="0.17647058823529413"/>
  </r>
  <r>
    <x v="580"/>
    <x v="202"/>
    <x v="58"/>
    <x v="31"/>
    <s v="P106"/>
    <x v="3"/>
    <x v="0"/>
    <x v="2"/>
    <x v="5"/>
    <n v="7"/>
    <n v="9500"/>
    <n v="5"/>
    <n v="63175"/>
    <n v="46550"/>
    <n v="16625"/>
    <x v="1"/>
    <s v="Pending"/>
    <x v="9"/>
    <s v="Q1"/>
    <n v="2025"/>
    <n v="0.26315789473684209"/>
  </r>
  <r>
    <x v="581"/>
    <x v="219"/>
    <x v="4"/>
    <x v="86"/>
    <s v="P106"/>
    <x v="3"/>
    <x v="0"/>
    <x v="0"/>
    <x v="4"/>
    <n v="5"/>
    <n v="9500"/>
    <n v="15"/>
    <n v="40375"/>
    <n v="33250"/>
    <n v="7125"/>
    <x v="3"/>
    <s v="Returned"/>
    <x v="0"/>
    <s v="Q4"/>
    <n v="2025"/>
    <n v="0.17647058823529413"/>
  </r>
  <r>
    <x v="582"/>
    <x v="216"/>
    <x v="12"/>
    <x v="79"/>
    <s v="P102"/>
    <x v="1"/>
    <x v="0"/>
    <x v="3"/>
    <x v="2"/>
    <n v="2"/>
    <n v="800"/>
    <n v="10"/>
    <n v="1440"/>
    <n v="1120"/>
    <n v="320"/>
    <x v="3"/>
    <s v="Delivered"/>
    <x v="8"/>
    <s v="Q3"/>
    <n v="2025"/>
    <n v="0.22222222222222221"/>
  </r>
  <r>
    <x v="583"/>
    <x v="94"/>
    <x v="96"/>
    <x v="43"/>
    <s v="P103"/>
    <x v="6"/>
    <x v="0"/>
    <x v="3"/>
    <x v="0"/>
    <n v="10"/>
    <n v="1500"/>
    <n v="0"/>
    <n v="15000"/>
    <n v="10500"/>
    <n v="4500"/>
    <x v="1"/>
    <s v="Delivered"/>
    <x v="10"/>
    <s v="Q2"/>
    <n v="2025"/>
    <n v="0.3"/>
  </r>
  <r>
    <x v="584"/>
    <x v="48"/>
    <x v="65"/>
    <x v="28"/>
    <s v="P102"/>
    <x v="1"/>
    <x v="0"/>
    <x v="2"/>
    <x v="5"/>
    <n v="6"/>
    <n v="800"/>
    <n v="15"/>
    <n v="4080"/>
    <n v="3360"/>
    <n v="720"/>
    <x v="1"/>
    <s v="Delivered"/>
    <x v="2"/>
    <s v="Q2"/>
    <n v="2025"/>
    <n v="0.17647058823529413"/>
  </r>
  <r>
    <x v="585"/>
    <x v="288"/>
    <x v="23"/>
    <x v="40"/>
    <s v="P108"/>
    <x v="4"/>
    <x v="1"/>
    <x v="2"/>
    <x v="1"/>
    <n v="6"/>
    <n v="3200"/>
    <n v="10"/>
    <n v="17280"/>
    <n v="13440"/>
    <n v="3840"/>
    <x v="1"/>
    <s v="Delivered"/>
    <x v="4"/>
    <s v="Q4"/>
    <n v="2025"/>
    <n v="0.22222222222222221"/>
  </r>
  <r>
    <x v="586"/>
    <x v="201"/>
    <x v="14"/>
    <x v="61"/>
    <s v="P104"/>
    <x v="7"/>
    <x v="2"/>
    <x v="0"/>
    <x v="1"/>
    <n v="4"/>
    <n v="4500"/>
    <n v="20"/>
    <n v="14400"/>
    <n v="12600"/>
    <n v="1800"/>
    <x v="1"/>
    <s v="Delivered"/>
    <x v="3"/>
    <s v="Q1"/>
    <n v="2025"/>
    <n v="0.125"/>
  </r>
  <r>
    <x v="587"/>
    <x v="289"/>
    <x v="95"/>
    <x v="0"/>
    <s v="P105"/>
    <x v="5"/>
    <x v="2"/>
    <x v="2"/>
    <x v="2"/>
    <n v="6"/>
    <n v="8500"/>
    <n v="5"/>
    <n v="48450"/>
    <n v="35700"/>
    <n v="12750"/>
    <x v="1"/>
    <s v="Returned"/>
    <x v="6"/>
    <s v="Q2"/>
    <n v="2025"/>
    <n v="0.26315789473684209"/>
  </r>
  <r>
    <x v="588"/>
    <x v="116"/>
    <x v="2"/>
    <x v="19"/>
    <s v="P106"/>
    <x v="3"/>
    <x v="0"/>
    <x v="0"/>
    <x v="0"/>
    <n v="3"/>
    <n v="9500"/>
    <n v="20"/>
    <n v="22800"/>
    <n v="19950"/>
    <n v="2850"/>
    <x v="2"/>
    <s v="Returned"/>
    <x v="10"/>
    <s v="Q2"/>
    <n v="2025"/>
    <n v="0.125"/>
  </r>
  <r>
    <x v="589"/>
    <x v="290"/>
    <x v="6"/>
    <x v="44"/>
    <s v="P101"/>
    <x v="2"/>
    <x v="0"/>
    <x v="0"/>
    <x v="3"/>
    <n v="3"/>
    <n v="55000"/>
    <n v="15"/>
    <n v="140250"/>
    <n v="115500"/>
    <n v="24750.000000000011"/>
    <x v="1"/>
    <s v="Delivered"/>
    <x v="1"/>
    <s v="Q4"/>
    <n v="2025"/>
    <n v="0.17647058823529418"/>
  </r>
  <r>
    <x v="590"/>
    <x v="123"/>
    <x v="50"/>
    <x v="61"/>
    <s v="P101"/>
    <x v="2"/>
    <x v="0"/>
    <x v="1"/>
    <x v="5"/>
    <n v="1"/>
    <n v="55000"/>
    <n v="0"/>
    <n v="55000"/>
    <n v="38500"/>
    <n v="16500"/>
    <x v="2"/>
    <s v="Delivered"/>
    <x v="2"/>
    <s v="Q2"/>
    <n v="2025"/>
    <n v="0.3"/>
  </r>
  <r>
    <x v="591"/>
    <x v="291"/>
    <x v="3"/>
    <x v="71"/>
    <s v="P108"/>
    <x v="4"/>
    <x v="1"/>
    <x v="1"/>
    <x v="3"/>
    <n v="8"/>
    <n v="3200"/>
    <n v="15"/>
    <n v="21760"/>
    <n v="17920"/>
    <n v="3840"/>
    <x v="3"/>
    <s v="Returned"/>
    <x v="7"/>
    <s v="Q1"/>
    <n v="2025"/>
    <n v="0.17647058823529413"/>
  </r>
  <r>
    <x v="592"/>
    <x v="14"/>
    <x v="34"/>
    <x v="67"/>
    <s v="P101"/>
    <x v="2"/>
    <x v="0"/>
    <x v="3"/>
    <x v="4"/>
    <n v="3"/>
    <n v="55000"/>
    <n v="15"/>
    <n v="140250"/>
    <n v="115500"/>
    <n v="24750.000000000011"/>
    <x v="1"/>
    <s v="Delivered"/>
    <x v="7"/>
    <s v="Q1"/>
    <n v="2025"/>
    <n v="0.17647058823529418"/>
  </r>
  <r>
    <x v="593"/>
    <x v="292"/>
    <x v="24"/>
    <x v="83"/>
    <s v="P105"/>
    <x v="5"/>
    <x v="2"/>
    <x v="0"/>
    <x v="3"/>
    <n v="3"/>
    <n v="8500"/>
    <n v="0"/>
    <n v="25500"/>
    <n v="17850"/>
    <n v="7650"/>
    <x v="2"/>
    <s v="Returned"/>
    <x v="1"/>
    <s v="Q4"/>
    <n v="2025"/>
    <n v="0.3"/>
  </r>
  <r>
    <x v="594"/>
    <x v="179"/>
    <x v="63"/>
    <x v="84"/>
    <s v="P107"/>
    <x v="0"/>
    <x v="0"/>
    <x v="3"/>
    <x v="3"/>
    <n v="6"/>
    <n v="3500"/>
    <n v="10"/>
    <n v="18900"/>
    <n v="14700"/>
    <n v="4200.0000000000018"/>
    <x v="2"/>
    <s v="Pending"/>
    <x v="6"/>
    <s v="Q2"/>
    <n v="2025"/>
    <n v="0.22222222222222232"/>
  </r>
  <r>
    <x v="595"/>
    <x v="262"/>
    <x v="66"/>
    <x v="36"/>
    <s v="P105"/>
    <x v="5"/>
    <x v="2"/>
    <x v="3"/>
    <x v="1"/>
    <n v="8"/>
    <n v="8500"/>
    <n v="10"/>
    <n v="61200"/>
    <n v="47600"/>
    <n v="13600"/>
    <x v="3"/>
    <s v="Returned"/>
    <x v="11"/>
    <s v="Q3"/>
    <n v="2025"/>
    <n v="0.22222222222222221"/>
  </r>
  <r>
    <x v="596"/>
    <x v="188"/>
    <x v="2"/>
    <x v="92"/>
    <s v="P104"/>
    <x v="7"/>
    <x v="2"/>
    <x v="2"/>
    <x v="0"/>
    <n v="4"/>
    <n v="4500"/>
    <n v="15"/>
    <n v="15300"/>
    <n v="12600"/>
    <n v="2700"/>
    <x v="1"/>
    <s v="Pending"/>
    <x v="9"/>
    <s v="Q1"/>
    <n v="2025"/>
    <n v="0.17647058823529413"/>
  </r>
  <r>
    <x v="597"/>
    <x v="127"/>
    <x v="32"/>
    <x v="39"/>
    <s v="P104"/>
    <x v="7"/>
    <x v="2"/>
    <x v="0"/>
    <x v="5"/>
    <n v="4"/>
    <n v="4500"/>
    <n v="0"/>
    <n v="18000"/>
    <n v="12600"/>
    <n v="5400"/>
    <x v="1"/>
    <s v="Delivered"/>
    <x v="11"/>
    <s v="Q3"/>
    <n v="2025"/>
    <n v="0.3"/>
  </r>
  <r>
    <x v="598"/>
    <x v="0"/>
    <x v="74"/>
    <x v="5"/>
    <s v="P104"/>
    <x v="7"/>
    <x v="2"/>
    <x v="1"/>
    <x v="3"/>
    <n v="3"/>
    <n v="4500"/>
    <n v="10"/>
    <n v="12150"/>
    <n v="9450"/>
    <n v="2700"/>
    <x v="1"/>
    <s v="Pending"/>
    <x v="0"/>
    <s v="Q4"/>
    <n v="2025"/>
    <n v="0.22222222222222221"/>
  </r>
  <r>
    <x v="599"/>
    <x v="293"/>
    <x v="29"/>
    <x v="96"/>
    <s v="P102"/>
    <x v="1"/>
    <x v="0"/>
    <x v="3"/>
    <x v="1"/>
    <n v="1"/>
    <n v="800"/>
    <n v="5"/>
    <n v="760"/>
    <n v="560"/>
    <n v="200"/>
    <x v="1"/>
    <s v="Returned"/>
    <x v="9"/>
    <s v="Q1"/>
    <n v="2025"/>
    <n v="0.26315789473684209"/>
  </r>
  <r>
    <x v="600"/>
    <x v="234"/>
    <x v="5"/>
    <x v="38"/>
    <s v="P108"/>
    <x v="4"/>
    <x v="1"/>
    <x v="2"/>
    <x v="2"/>
    <n v="6"/>
    <n v="3200"/>
    <n v="15"/>
    <n v="16320"/>
    <n v="13440"/>
    <n v="2880"/>
    <x v="2"/>
    <s v="Returned"/>
    <x v="6"/>
    <s v="Q2"/>
    <n v="2025"/>
    <n v="0.17647058823529413"/>
  </r>
  <r>
    <x v="601"/>
    <x v="55"/>
    <x v="70"/>
    <x v="38"/>
    <s v="P101"/>
    <x v="2"/>
    <x v="0"/>
    <x v="2"/>
    <x v="0"/>
    <n v="7"/>
    <n v="55000"/>
    <n v="20"/>
    <n v="308000"/>
    <n v="269500"/>
    <n v="38500"/>
    <x v="2"/>
    <s v="Pending"/>
    <x v="2"/>
    <s v="Q2"/>
    <n v="2025"/>
    <n v="0.125"/>
  </r>
  <r>
    <x v="602"/>
    <x v="163"/>
    <x v="89"/>
    <x v="39"/>
    <s v="P105"/>
    <x v="5"/>
    <x v="2"/>
    <x v="0"/>
    <x v="5"/>
    <n v="9"/>
    <n v="8500"/>
    <n v="0"/>
    <n v="76500"/>
    <n v="53550"/>
    <n v="22950"/>
    <x v="2"/>
    <s v="Returned"/>
    <x v="4"/>
    <s v="Q4"/>
    <n v="2025"/>
    <n v="0.3"/>
  </r>
  <r>
    <x v="603"/>
    <x v="215"/>
    <x v="32"/>
    <x v="38"/>
    <s v="P107"/>
    <x v="0"/>
    <x v="0"/>
    <x v="1"/>
    <x v="0"/>
    <n v="9"/>
    <n v="3500"/>
    <n v="15"/>
    <n v="26775"/>
    <n v="22050"/>
    <n v="4725"/>
    <x v="0"/>
    <s v="Delivered"/>
    <x v="4"/>
    <s v="Q4"/>
    <n v="2025"/>
    <n v="0.17647058823529413"/>
  </r>
  <r>
    <x v="604"/>
    <x v="148"/>
    <x v="31"/>
    <x v="50"/>
    <s v="P108"/>
    <x v="4"/>
    <x v="1"/>
    <x v="1"/>
    <x v="4"/>
    <n v="1"/>
    <n v="3200"/>
    <n v="10"/>
    <n v="2880"/>
    <n v="2240"/>
    <n v="640"/>
    <x v="0"/>
    <s v="Returned"/>
    <x v="4"/>
    <s v="Q4"/>
    <n v="2025"/>
    <n v="0.22222222222222221"/>
  </r>
  <r>
    <x v="605"/>
    <x v="147"/>
    <x v="50"/>
    <x v="0"/>
    <s v="P106"/>
    <x v="3"/>
    <x v="0"/>
    <x v="2"/>
    <x v="2"/>
    <n v="5"/>
    <n v="9500"/>
    <n v="5"/>
    <n v="45125"/>
    <n v="33250"/>
    <n v="11875"/>
    <x v="2"/>
    <s v="Returned"/>
    <x v="6"/>
    <s v="Q2"/>
    <n v="2025"/>
    <n v="0.26315789473684209"/>
  </r>
  <r>
    <x v="606"/>
    <x v="294"/>
    <x v="36"/>
    <x v="52"/>
    <s v="P108"/>
    <x v="4"/>
    <x v="1"/>
    <x v="2"/>
    <x v="0"/>
    <n v="4"/>
    <n v="3200"/>
    <n v="15"/>
    <n v="10880"/>
    <n v="8960"/>
    <n v="1920"/>
    <x v="2"/>
    <s v="Pending"/>
    <x v="5"/>
    <s v="Q3"/>
    <n v="2025"/>
    <n v="0.17647058823529413"/>
  </r>
  <r>
    <x v="607"/>
    <x v="28"/>
    <x v="97"/>
    <x v="34"/>
    <s v="P106"/>
    <x v="3"/>
    <x v="0"/>
    <x v="0"/>
    <x v="4"/>
    <n v="9"/>
    <n v="9500"/>
    <n v="15"/>
    <n v="72675"/>
    <n v="59849.999999999993"/>
    <n v="12825.000000000009"/>
    <x v="3"/>
    <s v="Returned"/>
    <x v="9"/>
    <s v="Q1"/>
    <n v="2025"/>
    <n v="0.17647058823529424"/>
  </r>
  <r>
    <x v="608"/>
    <x v="207"/>
    <x v="96"/>
    <x v="93"/>
    <s v="P107"/>
    <x v="0"/>
    <x v="0"/>
    <x v="3"/>
    <x v="0"/>
    <n v="3"/>
    <n v="3500"/>
    <n v="10"/>
    <n v="9450"/>
    <n v="7349.9999999999991"/>
    <n v="2100.0000000000009"/>
    <x v="3"/>
    <s v="Returned"/>
    <x v="1"/>
    <s v="Q4"/>
    <n v="2025"/>
    <n v="0.22222222222222232"/>
  </r>
  <r>
    <x v="609"/>
    <x v="101"/>
    <x v="67"/>
    <x v="20"/>
    <s v="P105"/>
    <x v="5"/>
    <x v="2"/>
    <x v="3"/>
    <x v="4"/>
    <n v="6"/>
    <n v="8500"/>
    <n v="0"/>
    <n v="51000"/>
    <n v="35700"/>
    <n v="15300"/>
    <x v="3"/>
    <s v="Delivered"/>
    <x v="0"/>
    <s v="Q4"/>
    <n v="2025"/>
    <n v="0.3"/>
  </r>
  <r>
    <x v="610"/>
    <x v="160"/>
    <x v="11"/>
    <x v="56"/>
    <s v="P102"/>
    <x v="1"/>
    <x v="0"/>
    <x v="2"/>
    <x v="1"/>
    <n v="8"/>
    <n v="800"/>
    <n v="0"/>
    <n v="6400"/>
    <n v="4480"/>
    <n v="1920"/>
    <x v="1"/>
    <s v="Pending"/>
    <x v="1"/>
    <s v="Q4"/>
    <n v="2025"/>
    <n v="0.3"/>
  </r>
  <r>
    <x v="611"/>
    <x v="75"/>
    <x v="41"/>
    <x v="55"/>
    <s v="P103"/>
    <x v="6"/>
    <x v="0"/>
    <x v="2"/>
    <x v="2"/>
    <n v="10"/>
    <n v="1500"/>
    <n v="5"/>
    <n v="14250"/>
    <n v="10500"/>
    <n v="3750"/>
    <x v="3"/>
    <s v="Delivered"/>
    <x v="0"/>
    <s v="Q4"/>
    <n v="2025"/>
    <n v="0.26315789473684209"/>
  </r>
  <r>
    <x v="612"/>
    <x v="25"/>
    <x v="11"/>
    <x v="46"/>
    <s v="P107"/>
    <x v="0"/>
    <x v="0"/>
    <x v="3"/>
    <x v="5"/>
    <n v="10"/>
    <n v="3500"/>
    <n v="20"/>
    <n v="28000"/>
    <n v="24500"/>
    <n v="3500"/>
    <x v="2"/>
    <s v="Pending"/>
    <x v="9"/>
    <s v="Q1"/>
    <n v="2025"/>
    <n v="0.125"/>
  </r>
  <r>
    <x v="613"/>
    <x v="254"/>
    <x v="93"/>
    <x v="30"/>
    <s v="P102"/>
    <x v="1"/>
    <x v="0"/>
    <x v="1"/>
    <x v="3"/>
    <n v="10"/>
    <n v="800"/>
    <n v="15"/>
    <n v="6800"/>
    <n v="5600"/>
    <n v="1200"/>
    <x v="0"/>
    <s v="Pending"/>
    <x v="4"/>
    <s v="Q4"/>
    <n v="2025"/>
    <n v="0.17647058823529413"/>
  </r>
  <r>
    <x v="614"/>
    <x v="295"/>
    <x v="92"/>
    <x v="11"/>
    <s v="P106"/>
    <x v="3"/>
    <x v="0"/>
    <x v="1"/>
    <x v="3"/>
    <n v="10"/>
    <n v="9500"/>
    <n v="0"/>
    <n v="95000"/>
    <n v="66500"/>
    <n v="28500"/>
    <x v="1"/>
    <s v="Returned"/>
    <x v="2"/>
    <s v="Q2"/>
    <n v="2025"/>
    <n v="0.3"/>
  </r>
  <r>
    <x v="615"/>
    <x v="296"/>
    <x v="29"/>
    <x v="8"/>
    <s v="P103"/>
    <x v="6"/>
    <x v="0"/>
    <x v="1"/>
    <x v="0"/>
    <n v="8"/>
    <n v="1500"/>
    <n v="5"/>
    <n v="11400"/>
    <n v="8400"/>
    <n v="3000"/>
    <x v="0"/>
    <s v="Delivered"/>
    <x v="11"/>
    <s v="Q3"/>
    <n v="2025"/>
    <n v="0.26315789473684209"/>
  </r>
  <r>
    <x v="616"/>
    <x v="297"/>
    <x v="52"/>
    <x v="6"/>
    <s v="P102"/>
    <x v="1"/>
    <x v="0"/>
    <x v="3"/>
    <x v="4"/>
    <n v="4"/>
    <n v="800"/>
    <n v="5"/>
    <n v="3040"/>
    <n v="2240"/>
    <n v="800"/>
    <x v="2"/>
    <s v="Delivered"/>
    <x v="0"/>
    <s v="Q4"/>
    <n v="2025"/>
    <n v="0.26315789473684209"/>
  </r>
  <r>
    <x v="617"/>
    <x v="185"/>
    <x v="74"/>
    <x v="3"/>
    <s v="P105"/>
    <x v="5"/>
    <x v="2"/>
    <x v="3"/>
    <x v="5"/>
    <n v="6"/>
    <n v="8500"/>
    <n v="5"/>
    <n v="48450"/>
    <n v="35700"/>
    <n v="12750"/>
    <x v="0"/>
    <s v="Returned"/>
    <x v="1"/>
    <s v="Q4"/>
    <n v="2025"/>
    <n v="0.26315789473684209"/>
  </r>
  <r>
    <x v="618"/>
    <x v="288"/>
    <x v="54"/>
    <x v="40"/>
    <s v="P105"/>
    <x v="5"/>
    <x v="2"/>
    <x v="0"/>
    <x v="0"/>
    <n v="7"/>
    <n v="8500"/>
    <n v="0"/>
    <n v="59500"/>
    <n v="41650"/>
    <n v="17850"/>
    <x v="1"/>
    <s v="Returned"/>
    <x v="4"/>
    <s v="Q4"/>
    <n v="2025"/>
    <n v="0.3"/>
  </r>
  <r>
    <x v="619"/>
    <x v="52"/>
    <x v="55"/>
    <x v="59"/>
    <s v="P105"/>
    <x v="5"/>
    <x v="2"/>
    <x v="3"/>
    <x v="3"/>
    <n v="1"/>
    <n v="8500"/>
    <n v="20"/>
    <n v="6800"/>
    <n v="5950"/>
    <n v="850"/>
    <x v="2"/>
    <s v="Returned"/>
    <x v="10"/>
    <s v="Q2"/>
    <n v="2025"/>
    <n v="0.125"/>
  </r>
  <r>
    <x v="620"/>
    <x v="18"/>
    <x v="90"/>
    <x v="69"/>
    <s v="P107"/>
    <x v="0"/>
    <x v="0"/>
    <x v="1"/>
    <x v="2"/>
    <n v="9"/>
    <n v="3500"/>
    <n v="10"/>
    <n v="28350"/>
    <n v="22050"/>
    <n v="6300"/>
    <x v="3"/>
    <s v="Returned"/>
    <x v="4"/>
    <s v="Q4"/>
    <n v="2025"/>
    <n v="0.22222222222222221"/>
  </r>
  <r>
    <x v="621"/>
    <x v="13"/>
    <x v="10"/>
    <x v="46"/>
    <s v="P102"/>
    <x v="1"/>
    <x v="0"/>
    <x v="3"/>
    <x v="0"/>
    <n v="3"/>
    <n v="800"/>
    <n v="5"/>
    <n v="2280"/>
    <n v="1680"/>
    <n v="600"/>
    <x v="0"/>
    <s v="Returned"/>
    <x v="5"/>
    <s v="Q3"/>
    <n v="2025"/>
    <n v="0.26315789473684209"/>
  </r>
  <r>
    <x v="622"/>
    <x v="186"/>
    <x v="35"/>
    <x v="98"/>
    <s v="P102"/>
    <x v="1"/>
    <x v="0"/>
    <x v="3"/>
    <x v="0"/>
    <n v="1"/>
    <n v="800"/>
    <n v="15"/>
    <n v="680"/>
    <n v="560"/>
    <n v="120"/>
    <x v="2"/>
    <s v="Pending"/>
    <x v="3"/>
    <s v="Q1"/>
    <n v="2025"/>
    <n v="0.17647058823529413"/>
  </r>
  <r>
    <x v="623"/>
    <x v="74"/>
    <x v="45"/>
    <x v="73"/>
    <s v="P101"/>
    <x v="2"/>
    <x v="0"/>
    <x v="3"/>
    <x v="3"/>
    <n v="4"/>
    <n v="55000"/>
    <n v="15"/>
    <n v="187000"/>
    <n v="154000"/>
    <n v="33000"/>
    <x v="1"/>
    <s v="Pending"/>
    <x v="0"/>
    <s v="Q4"/>
    <n v="2025"/>
    <n v="0.17647058823529413"/>
  </r>
  <r>
    <x v="624"/>
    <x v="45"/>
    <x v="75"/>
    <x v="6"/>
    <s v="P101"/>
    <x v="2"/>
    <x v="0"/>
    <x v="3"/>
    <x v="1"/>
    <n v="10"/>
    <n v="55000"/>
    <n v="10"/>
    <n v="495000"/>
    <n v="385000"/>
    <n v="110000"/>
    <x v="0"/>
    <s v="Returned"/>
    <x v="10"/>
    <s v="Q2"/>
    <n v="2025"/>
    <n v="0.22222222222222221"/>
  </r>
  <r>
    <x v="625"/>
    <x v="41"/>
    <x v="22"/>
    <x v="67"/>
    <s v="P101"/>
    <x v="2"/>
    <x v="0"/>
    <x v="3"/>
    <x v="0"/>
    <n v="1"/>
    <n v="55000"/>
    <n v="20"/>
    <n v="44000"/>
    <n v="38500"/>
    <n v="5500"/>
    <x v="0"/>
    <s v="Returned"/>
    <x v="7"/>
    <s v="Q1"/>
    <n v="2025"/>
    <n v="0.125"/>
  </r>
  <r>
    <x v="626"/>
    <x v="32"/>
    <x v="58"/>
    <x v="15"/>
    <s v="P102"/>
    <x v="1"/>
    <x v="0"/>
    <x v="2"/>
    <x v="4"/>
    <n v="10"/>
    <n v="800"/>
    <n v="15"/>
    <n v="6800"/>
    <n v="5600"/>
    <n v="1200"/>
    <x v="3"/>
    <s v="Pending"/>
    <x v="10"/>
    <s v="Q2"/>
    <n v="2025"/>
    <n v="0.17647058823529413"/>
  </r>
  <r>
    <x v="627"/>
    <x v="102"/>
    <x v="90"/>
    <x v="66"/>
    <s v="P103"/>
    <x v="6"/>
    <x v="0"/>
    <x v="1"/>
    <x v="1"/>
    <n v="2"/>
    <n v="1500"/>
    <n v="10"/>
    <n v="2700"/>
    <n v="2100"/>
    <n v="600"/>
    <x v="2"/>
    <s v="Delivered"/>
    <x v="1"/>
    <s v="Q4"/>
    <n v="2025"/>
    <n v="0.22222222222222221"/>
  </r>
  <r>
    <x v="628"/>
    <x v="29"/>
    <x v="38"/>
    <x v="81"/>
    <s v="P102"/>
    <x v="1"/>
    <x v="0"/>
    <x v="3"/>
    <x v="1"/>
    <n v="8"/>
    <n v="800"/>
    <n v="5"/>
    <n v="6080"/>
    <n v="4480"/>
    <n v="1600"/>
    <x v="3"/>
    <s v="Delivered"/>
    <x v="10"/>
    <s v="Q2"/>
    <n v="2025"/>
    <n v="0.26315789473684209"/>
  </r>
  <r>
    <x v="629"/>
    <x v="196"/>
    <x v="17"/>
    <x v="82"/>
    <s v="P101"/>
    <x v="2"/>
    <x v="0"/>
    <x v="3"/>
    <x v="5"/>
    <n v="2"/>
    <n v="55000"/>
    <n v="5"/>
    <n v="104500"/>
    <n v="77000"/>
    <n v="27500"/>
    <x v="1"/>
    <s v="Returned"/>
    <x v="5"/>
    <s v="Q3"/>
    <n v="2025"/>
    <n v="0.26315789473684209"/>
  </r>
  <r>
    <x v="630"/>
    <x v="298"/>
    <x v="23"/>
    <x v="48"/>
    <s v="P104"/>
    <x v="7"/>
    <x v="2"/>
    <x v="0"/>
    <x v="0"/>
    <n v="3"/>
    <n v="4500"/>
    <n v="5"/>
    <n v="12825"/>
    <n v="9450"/>
    <n v="3375"/>
    <x v="2"/>
    <s v="Delivered"/>
    <x v="8"/>
    <s v="Q3"/>
    <n v="2025"/>
    <n v="0.26315789473684209"/>
  </r>
  <r>
    <x v="631"/>
    <x v="299"/>
    <x v="96"/>
    <x v="34"/>
    <s v="P107"/>
    <x v="0"/>
    <x v="0"/>
    <x v="1"/>
    <x v="0"/>
    <n v="1"/>
    <n v="3500"/>
    <n v="0"/>
    <n v="3500"/>
    <n v="2450"/>
    <n v="1050"/>
    <x v="2"/>
    <s v="Pending"/>
    <x v="4"/>
    <s v="Q4"/>
    <n v="2025"/>
    <n v="0.3"/>
  </r>
  <r>
    <x v="632"/>
    <x v="112"/>
    <x v="73"/>
    <x v="82"/>
    <s v="P105"/>
    <x v="5"/>
    <x v="2"/>
    <x v="1"/>
    <x v="0"/>
    <n v="10"/>
    <n v="8500"/>
    <n v="10"/>
    <n v="76500"/>
    <n v="59499.999999999993"/>
    <n v="17000.000000000011"/>
    <x v="2"/>
    <s v="Pending"/>
    <x v="11"/>
    <s v="Q3"/>
    <n v="2025"/>
    <n v="0.22222222222222238"/>
  </r>
  <r>
    <x v="633"/>
    <x v="72"/>
    <x v="86"/>
    <x v="77"/>
    <s v="P106"/>
    <x v="3"/>
    <x v="0"/>
    <x v="1"/>
    <x v="5"/>
    <n v="2"/>
    <n v="9500"/>
    <n v="10"/>
    <n v="17100"/>
    <n v="13300"/>
    <n v="3800"/>
    <x v="2"/>
    <s v="Pending"/>
    <x v="10"/>
    <s v="Q2"/>
    <n v="2025"/>
    <n v="0.22222222222222221"/>
  </r>
  <r>
    <x v="634"/>
    <x v="300"/>
    <x v="78"/>
    <x v="42"/>
    <s v="P104"/>
    <x v="7"/>
    <x v="2"/>
    <x v="1"/>
    <x v="3"/>
    <n v="3"/>
    <n v="4500"/>
    <n v="10"/>
    <n v="12150"/>
    <n v="9450"/>
    <n v="2700"/>
    <x v="3"/>
    <s v="Returned"/>
    <x v="3"/>
    <s v="Q1"/>
    <n v="2025"/>
    <n v="0.22222222222222221"/>
  </r>
  <r>
    <x v="635"/>
    <x v="276"/>
    <x v="73"/>
    <x v="0"/>
    <s v="P101"/>
    <x v="2"/>
    <x v="0"/>
    <x v="1"/>
    <x v="2"/>
    <n v="9"/>
    <n v="55000"/>
    <n v="15"/>
    <n v="420750"/>
    <n v="346500"/>
    <n v="74250"/>
    <x v="2"/>
    <s v="Delivered"/>
    <x v="2"/>
    <s v="Q2"/>
    <n v="2025"/>
    <n v="0.17647058823529413"/>
  </r>
  <r>
    <x v="636"/>
    <x v="276"/>
    <x v="55"/>
    <x v="42"/>
    <s v="P102"/>
    <x v="1"/>
    <x v="0"/>
    <x v="0"/>
    <x v="3"/>
    <n v="3"/>
    <n v="800"/>
    <n v="10"/>
    <n v="2160"/>
    <n v="1680"/>
    <n v="480"/>
    <x v="0"/>
    <s v="Returned"/>
    <x v="2"/>
    <s v="Q2"/>
    <n v="2025"/>
    <n v="0.22222222222222221"/>
  </r>
  <r>
    <x v="637"/>
    <x v="230"/>
    <x v="32"/>
    <x v="19"/>
    <s v="P101"/>
    <x v="2"/>
    <x v="0"/>
    <x v="1"/>
    <x v="2"/>
    <n v="5"/>
    <n v="55000"/>
    <n v="15"/>
    <n v="233750"/>
    <n v="192500"/>
    <n v="41250"/>
    <x v="0"/>
    <s v="Delivered"/>
    <x v="3"/>
    <s v="Q1"/>
    <n v="2025"/>
    <n v="0.17647058823529413"/>
  </r>
  <r>
    <x v="638"/>
    <x v="11"/>
    <x v="64"/>
    <x v="6"/>
    <s v="P102"/>
    <x v="1"/>
    <x v="0"/>
    <x v="0"/>
    <x v="1"/>
    <n v="7"/>
    <n v="800"/>
    <n v="0"/>
    <n v="5600"/>
    <n v="3920"/>
    <n v="1680"/>
    <x v="0"/>
    <s v="Pending"/>
    <x v="3"/>
    <s v="Q1"/>
    <n v="2025"/>
    <n v="0.3"/>
  </r>
  <r>
    <x v="639"/>
    <x v="17"/>
    <x v="45"/>
    <x v="92"/>
    <s v="P102"/>
    <x v="1"/>
    <x v="0"/>
    <x v="2"/>
    <x v="5"/>
    <n v="4"/>
    <n v="800"/>
    <n v="10"/>
    <n v="2880"/>
    <n v="2240"/>
    <n v="640"/>
    <x v="3"/>
    <s v="Delivered"/>
    <x v="7"/>
    <s v="Q1"/>
    <n v="2025"/>
    <n v="0.22222222222222221"/>
  </r>
  <r>
    <x v="640"/>
    <x v="10"/>
    <x v="42"/>
    <x v="87"/>
    <s v="P108"/>
    <x v="4"/>
    <x v="1"/>
    <x v="3"/>
    <x v="1"/>
    <n v="7"/>
    <n v="3200"/>
    <n v="10"/>
    <n v="20160"/>
    <n v="15680"/>
    <n v="4480.0000000000018"/>
    <x v="2"/>
    <s v="Delivered"/>
    <x v="6"/>
    <s v="Q2"/>
    <n v="2025"/>
    <n v="0.22222222222222232"/>
  </r>
  <r>
    <x v="641"/>
    <x v="269"/>
    <x v="26"/>
    <x v="11"/>
    <s v="P102"/>
    <x v="1"/>
    <x v="0"/>
    <x v="1"/>
    <x v="5"/>
    <n v="2"/>
    <n v="800"/>
    <n v="15"/>
    <n v="1360"/>
    <n v="1120"/>
    <n v="240"/>
    <x v="0"/>
    <s v="Returned"/>
    <x v="9"/>
    <s v="Q1"/>
    <n v="2025"/>
    <n v="0.17647058823529413"/>
  </r>
  <r>
    <x v="642"/>
    <x v="133"/>
    <x v="52"/>
    <x v="87"/>
    <s v="P101"/>
    <x v="2"/>
    <x v="0"/>
    <x v="3"/>
    <x v="1"/>
    <n v="1"/>
    <n v="55000"/>
    <n v="5"/>
    <n v="52250"/>
    <n v="38500"/>
    <n v="13750"/>
    <x v="1"/>
    <s v="Delivered"/>
    <x v="6"/>
    <s v="Q2"/>
    <n v="2025"/>
    <n v="0.26315789473684209"/>
  </r>
  <r>
    <x v="643"/>
    <x v="301"/>
    <x v="95"/>
    <x v="24"/>
    <s v="P106"/>
    <x v="3"/>
    <x v="0"/>
    <x v="0"/>
    <x v="0"/>
    <n v="3"/>
    <n v="9500"/>
    <n v="10"/>
    <n v="25650"/>
    <n v="19950"/>
    <n v="5700"/>
    <x v="2"/>
    <s v="Returned"/>
    <x v="0"/>
    <s v="Q4"/>
    <n v="2025"/>
    <n v="0.22222222222222221"/>
  </r>
  <r>
    <x v="644"/>
    <x v="8"/>
    <x v="43"/>
    <x v="48"/>
    <s v="P103"/>
    <x v="6"/>
    <x v="0"/>
    <x v="1"/>
    <x v="2"/>
    <n v="2"/>
    <n v="1500"/>
    <n v="5"/>
    <n v="2850"/>
    <n v="2100"/>
    <n v="750"/>
    <x v="1"/>
    <s v="Returned"/>
    <x v="3"/>
    <s v="Q1"/>
    <n v="2025"/>
    <n v="0.26315789473684209"/>
  </r>
  <r>
    <x v="645"/>
    <x v="30"/>
    <x v="75"/>
    <x v="53"/>
    <s v="P108"/>
    <x v="4"/>
    <x v="1"/>
    <x v="2"/>
    <x v="5"/>
    <n v="5"/>
    <n v="3200"/>
    <n v="20"/>
    <n v="12800"/>
    <n v="11200"/>
    <n v="1600"/>
    <x v="3"/>
    <s v="Delivered"/>
    <x v="9"/>
    <s v="Q1"/>
    <n v="2025"/>
    <n v="0.125"/>
  </r>
  <r>
    <x v="646"/>
    <x v="290"/>
    <x v="82"/>
    <x v="76"/>
    <s v="P102"/>
    <x v="1"/>
    <x v="0"/>
    <x v="1"/>
    <x v="5"/>
    <n v="8"/>
    <n v="800"/>
    <n v="15"/>
    <n v="5440"/>
    <n v="4480"/>
    <n v="960"/>
    <x v="3"/>
    <s v="Pending"/>
    <x v="1"/>
    <s v="Q4"/>
    <n v="2025"/>
    <n v="0.17647058823529413"/>
  </r>
  <r>
    <x v="647"/>
    <x v="56"/>
    <x v="50"/>
    <x v="26"/>
    <s v="P107"/>
    <x v="0"/>
    <x v="0"/>
    <x v="2"/>
    <x v="3"/>
    <n v="2"/>
    <n v="3500"/>
    <n v="10"/>
    <n v="6300"/>
    <n v="4900"/>
    <n v="1400"/>
    <x v="3"/>
    <s v="Pending"/>
    <x v="7"/>
    <s v="Q1"/>
    <n v="2025"/>
    <n v="0.22222222222222221"/>
  </r>
  <r>
    <x v="648"/>
    <x v="7"/>
    <x v="28"/>
    <x v="36"/>
    <s v="P108"/>
    <x v="4"/>
    <x v="1"/>
    <x v="2"/>
    <x v="0"/>
    <n v="6"/>
    <n v="3200"/>
    <n v="5"/>
    <n v="18240"/>
    <n v="13440"/>
    <n v="4800"/>
    <x v="1"/>
    <s v="Delivered"/>
    <x v="5"/>
    <s v="Q3"/>
    <n v="2025"/>
    <n v="0.26315789473684209"/>
  </r>
  <r>
    <x v="649"/>
    <x v="180"/>
    <x v="48"/>
    <x v="6"/>
    <s v="P102"/>
    <x v="1"/>
    <x v="0"/>
    <x v="3"/>
    <x v="5"/>
    <n v="4"/>
    <n v="800"/>
    <n v="5"/>
    <n v="3040"/>
    <n v="2240"/>
    <n v="800"/>
    <x v="2"/>
    <s v="Delivered"/>
    <x v="3"/>
    <s v="Q1"/>
    <n v="2025"/>
    <n v="0.26315789473684209"/>
  </r>
  <r>
    <x v="650"/>
    <x v="302"/>
    <x v="97"/>
    <x v="93"/>
    <s v="P108"/>
    <x v="4"/>
    <x v="1"/>
    <x v="0"/>
    <x v="5"/>
    <n v="9"/>
    <n v="3200"/>
    <n v="20"/>
    <n v="23040"/>
    <n v="20160"/>
    <n v="2880"/>
    <x v="2"/>
    <s v="Returned"/>
    <x v="2"/>
    <s v="Q2"/>
    <n v="2025"/>
    <n v="0.125"/>
  </r>
  <r>
    <x v="651"/>
    <x v="87"/>
    <x v="69"/>
    <x v="6"/>
    <s v="P106"/>
    <x v="3"/>
    <x v="0"/>
    <x v="0"/>
    <x v="2"/>
    <n v="6"/>
    <n v="9500"/>
    <n v="10"/>
    <n v="51300"/>
    <n v="39900"/>
    <n v="11400"/>
    <x v="0"/>
    <s v="Returned"/>
    <x v="5"/>
    <s v="Q3"/>
    <n v="2025"/>
    <n v="0.22222222222222221"/>
  </r>
  <r>
    <x v="652"/>
    <x v="39"/>
    <x v="58"/>
    <x v="38"/>
    <s v="P107"/>
    <x v="0"/>
    <x v="0"/>
    <x v="1"/>
    <x v="1"/>
    <n v="8"/>
    <n v="3500"/>
    <n v="10"/>
    <n v="25200"/>
    <n v="19600"/>
    <n v="5600"/>
    <x v="3"/>
    <s v="Returned"/>
    <x v="7"/>
    <s v="Q1"/>
    <n v="2025"/>
    <n v="0.22222222222222221"/>
  </r>
  <r>
    <x v="653"/>
    <x v="266"/>
    <x v="21"/>
    <x v="64"/>
    <s v="P102"/>
    <x v="1"/>
    <x v="0"/>
    <x v="2"/>
    <x v="0"/>
    <n v="5"/>
    <n v="800"/>
    <n v="5"/>
    <n v="3800"/>
    <n v="2800"/>
    <n v="1000"/>
    <x v="0"/>
    <s v="Delivered"/>
    <x v="11"/>
    <s v="Q3"/>
    <n v="2025"/>
    <n v="0.26315789473684209"/>
  </r>
  <r>
    <x v="654"/>
    <x v="265"/>
    <x v="31"/>
    <x v="46"/>
    <s v="P102"/>
    <x v="1"/>
    <x v="0"/>
    <x v="0"/>
    <x v="5"/>
    <n v="4"/>
    <n v="800"/>
    <n v="20"/>
    <n v="2560"/>
    <n v="2240"/>
    <n v="320"/>
    <x v="2"/>
    <s v="Returned"/>
    <x v="3"/>
    <s v="Q1"/>
    <n v="2025"/>
    <n v="0.125"/>
  </r>
  <r>
    <x v="655"/>
    <x v="267"/>
    <x v="9"/>
    <x v="28"/>
    <s v="P103"/>
    <x v="6"/>
    <x v="0"/>
    <x v="0"/>
    <x v="0"/>
    <n v="3"/>
    <n v="1500"/>
    <n v="20"/>
    <n v="3600"/>
    <n v="3150"/>
    <n v="450"/>
    <x v="1"/>
    <s v="Pending"/>
    <x v="11"/>
    <s v="Q3"/>
    <n v="2025"/>
    <n v="0.125"/>
  </r>
  <r>
    <x v="656"/>
    <x v="95"/>
    <x v="30"/>
    <x v="80"/>
    <s v="P106"/>
    <x v="3"/>
    <x v="0"/>
    <x v="0"/>
    <x v="0"/>
    <n v="7"/>
    <n v="9500"/>
    <n v="5"/>
    <n v="63175"/>
    <n v="46550"/>
    <n v="16625"/>
    <x v="2"/>
    <s v="Returned"/>
    <x v="10"/>
    <s v="Q2"/>
    <n v="2025"/>
    <n v="0.26315789473684209"/>
  </r>
  <r>
    <x v="657"/>
    <x v="215"/>
    <x v="80"/>
    <x v="39"/>
    <s v="P101"/>
    <x v="2"/>
    <x v="0"/>
    <x v="2"/>
    <x v="2"/>
    <n v="8"/>
    <n v="55000"/>
    <n v="15"/>
    <n v="374000"/>
    <n v="308000"/>
    <n v="66000"/>
    <x v="0"/>
    <s v="Delivered"/>
    <x v="4"/>
    <s v="Q4"/>
    <n v="2025"/>
    <n v="0.17647058823529413"/>
  </r>
  <r>
    <x v="658"/>
    <x v="215"/>
    <x v="91"/>
    <x v="0"/>
    <s v="P106"/>
    <x v="3"/>
    <x v="0"/>
    <x v="1"/>
    <x v="4"/>
    <n v="1"/>
    <n v="9500"/>
    <n v="20"/>
    <n v="7600"/>
    <n v="6650"/>
    <n v="950"/>
    <x v="2"/>
    <s v="Delivered"/>
    <x v="4"/>
    <s v="Q4"/>
    <n v="2025"/>
    <n v="0.125"/>
  </r>
  <r>
    <x v="659"/>
    <x v="303"/>
    <x v="41"/>
    <x v="42"/>
    <s v="P103"/>
    <x v="6"/>
    <x v="0"/>
    <x v="0"/>
    <x v="4"/>
    <n v="7"/>
    <n v="1500"/>
    <n v="20"/>
    <n v="8400"/>
    <n v="7349.9999999999991"/>
    <n v="1050.0000000000009"/>
    <x v="3"/>
    <s v="Returned"/>
    <x v="7"/>
    <s v="Q1"/>
    <n v="2025"/>
    <n v="0.12500000000000011"/>
  </r>
  <r>
    <x v="660"/>
    <x v="9"/>
    <x v="98"/>
    <x v="43"/>
    <s v="P103"/>
    <x v="6"/>
    <x v="0"/>
    <x v="2"/>
    <x v="2"/>
    <n v="4"/>
    <n v="1500"/>
    <n v="5"/>
    <n v="5700"/>
    <n v="4200"/>
    <n v="1500"/>
    <x v="0"/>
    <s v="Delivered"/>
    <x v="0"/>
    <s v="Q4"/>
    <n v="2025"/>
    <n v="0.26315789473684209"/>
  </r>
  <r>
    <x v="661"/>
    <x v="210"/>
    <x v="35"/>
    <x v="48"/>
    <s v="P108"/>
    <x v="4"/>
    <x v="1"/>
    <x v="3"/>
    <x v="1"/>
    <n v="9"/>
    <n v="3200"/>
    <n v="15"/>
    <n v="24480"/>
    <n v="20160"/>
    <n v="4320"/>
    <x v="2"/>
    <s v="Returned"/>
    <x v="3"/>
    <s v="Q1"/>
    <n v="2025"/>
    <n v="0.17647058823529413"/>
  </r>
  <r>
    <x v="662"/>
    <x v="155"/>
    <x v="82"/>
    <x v="25"/>
    <s v="P103"/>
    <x v="6"/>
    <x v="0"/>
    <x v="1"/>
    <x v="0"/>
    <n v="7"/>
    <n v="1500"/>
    <n v="20"/>
    <n v="8400"/>
    <n v="7349.9999999999991"/>
    <n v="1050.0000000000009"/>
    <x v="3"/>
    <s v="Returned"/>
    <x v="1"/>
    <s v="Q4"/>
    <n v="2025"/>
    <n v="0.12500000000000011"/>
  </r>
  <r>
    <x v="663"/>
    <x v="13"/>
    <x v="30"/>
    <x v="28"/>
    <s v="P108"/>
    <x v="4"/>
    <x v="1"/>
    <x v="0"/>
    <x v="3"/>
    <n v="8"/>
    <n v="3200"/>
    <n v="0"/>
    <n v="25600"/>
    <n v="17920"/>
    <n v="7680"/>
    <x v="2"/>
    <s v="Returned"/>
    <x v="5"/>
    <s v="Q3"/>
    <n v="2025"/>
    <n v="0.3"/>
  </r>
  <r>
    <x v="664"/>
    <x v="170"/>
    <x v="40"/>
    <x v="22"/>
    <s v="P107"/>
    <x v="0"/>
    <x v="0"/>
    <x v="0"/>
    <x v="1"/>
    <n v="4"/>
    <n v="3500"/>
    <n v="15"/>
    <n v="11900"/>
    <n v="9800"/>
    <n v="2100"/>
    <x v="1"/>
    <s v="Delivered"/>
    <x v="4"/>
    <s v="Q4"/>
    <n v="2025"/>
    <n v="0.17647058823529413"/>
  </r>
  <r>
    <x v="665"/>
    <x v="256"/>
    <x v="12"/>
    <x v="69"/>
    <s v="P105"/>
    <x v="5"/>
    <x v="2"/>
    <x v="3"/>
    <x v="0"/>
    <n v="8"/>
    <n v="8500"/>
    <n v="15"/>
    <n v="57800"/>
    <n v="47600"/>
    <n v="10200"/>
    <x v="0"/>
    <s v="Returned"/>
    <x v="2"/>
    <s v="Q2"/>
    <n v="2025"/>
    <n v="0.17647058823529413"/>
  </r>
  <r>
    <x v="666"/>
    <x v="151"/>
    <x v="65"/>
    <x v="64"/>
    <s v="P105"/>
    <x v="5"/>
    <x v="2"/>
    <x v="3"/>
    <x v="4"/>
    <n v="1"/>
    <n v="8500"/>
    <n v="5"/>
    <n v="8075"/>
    <n v="5950"/>
    <n v="2125"/>
    <x v="0"/>
    <s v="Pending"/>
    <x v="8"/>
    <s v="Q3"/>
    <n v="2025"/>
    <n v="0.26315789473684209"/>
  </r>
  <r>
    <x v="667"/>
    <x v="231"/>
    <x v="60"/>
    <x v="38"/>
    <s v="P105"/>
    <x v="5"/>
    <x v="2"/>
    <x v="2"/>
    <x v="4"/>
    <n v="4"/>
    <n v="8500"/>
    <n v="0"/>
    <n v="34000"/>
    <n v="23800"/>
    <n v="10200"/>
    <x v="2"/>
    <s v="Pending"/>
    <x v="2"/>
    <s v="Q2"/>
    <n v="2025"/>
    <n v="0.3"/>
  </r>
  <r>
    <x v="668"/>
    <x v="88"/>
    <x v="80"/>
    <x v="99"/>
    <s v="P103"/>
    <x v="6"/>
    <x v="0"/>
    <x v="1"/>
    <x v="3"/>
    <n v="10"/>
    <n v="1500"/>
    <n v="5"/>
    <n v="14250"/>
    <n v="10500"/>
    <n v="3750"/>
    <x v="1"/>
    <s v="Pending"/>
    <x v="7"/>
    <s v="Q1"/>
    <n v="2025"/>
    <n v="0.26315789473684209"/>
  </r>
  <r>
    <x v="669"/>
    <x v="209"/>
    <x v="51"/>
    <x v="77"/>
    <s v="P103"/>
    <x v="6"/>
    <x v="0"/>
    <x v="1"/>
    <x v="1"/>
    <n v="6"/>
    <n v="1500"/>
    <n v="10"/>
    <n v="8100"/>
    <n v="6300"/>
    <n v="1800"/>
    <x v="2"/>
    <s v="Delivered"/>
    <x v="6"/>
    <s v="Q2"/>
    <n v="2025"/>
    <n v="0.22222222222222221"/>
  </r>
  <r>
    <x v="670"/>
    <x v="202"/>
    <x v="16"/>
    <x v="68"/>
    <s v="P108"/>
    <x v="4"/>
    <x v="1"/>
    <x v="1"/>
    <x v="3"/>
    <n v="7"/>
    <n v="3200"/>
    <n v="5"/>
    <n v="21280"/>
    <n v="15680"/>
    <n v="5600.0000000000018"/>
    <x v="0"/>
    <s v="Returned"/>
    <x v="9"/>
    <s v="Q1"/>
    <n v="2025"/>
    <n v="0.2631578947368422"/>
  </r>
  <r>
    <x v="671"/>
    <x v="259"/>
    <x v="15"/>
    <x v="88"/>
    <s v="P105"/>
    <x v="5"/>
    <x v="2"/>
    <x v="1"/>
    <x v="2"/>
    <n v="6"/>
    <n v="8500"/>
    <n v="15"/>
    <n v="43350"/>
    <n v="35700"/>
    <n v="7650"/>
    <x v="1"/>
    <s v="Delivered"/>
    <x v="4"/>
    <s v="Q4"/>
    <n v="2025"/>
    <n v="0.17647058823529413"/>
  </r>
  <r>
    <x v="672"/>
    <x v="154"/>
    <x v="62"/>
    <x v="37"/>
    <s v="P101"/>
    <x v="2"/>
    <x v="0"/>
    <x v="2"/>
    <x v="5"/>
    <n v="3"/>
    <n v="55000"/>
    <n v="0"/>
    <n v="165000"/>
    <n v="115500"/>
    <n v="49500.000000000007"/>
    <x v="3"/>
    <s v="Delivered"/>
    <x v="10"/>
    <s v="Q2"/>
    <n v="2025"/>
    <n v="0.30000000000000004"/>
  </r>
  <r>
    <x v="673"/>
    <x v="41"/>
    <x v="96"/>
    <x v="78"/>
    <s v="P103"/>
    <x v="6"/>
    <x v="0"/>
    <x v="1"/>
    <x v="3"/>
    <n v="6"/>
    <n v="1500"/>
    <n v="20"/>
    <n v="7200"/>
    <n v="6300"/>
    <n v="900"/>
    <x v="3"/>
    <s v="Delivered"/>
    <x v="7"/>
    <s v="Q1"/>
    <n v="2025"/>
    <n v="0.125"/>
  </r>
  <r>
    <x v="674"/>
    <x v="241"/>
    <x v="8"/>
    <x v="5"/>
    <s v="P106"/>
    <x v="3"/>
    <x v="0"/>
    <x v="2"/>
    <x v="0"/>
    <n v="7"/>
    <n v="9500"/>
    <n v="20"/>
    <n v="53200"/>
    <n v="46550"/>
    <n v="6650"/>
    <x v="3"/>
    <s v="Returned"/>
    <x v="11"/>
    <s v="Q3"/>
    <n v="2025"/>
    <n v="0.125"/>
  </r>
  <r>
    <x v="675"/>
    <x v="304"/>
    <x v="2"/>
    <x v="36"/>
    <s v="P107"/>
    <x v="0"/>
    <x v="0"/>
    <x v="0"/>
    <x v="4"/>
    <n v="10"/>
    <n v="3500"/>
    <n v="10"/>
    <n v="31500"/>
    <n v="24500"/>
    <n v="7000"/>
    <x v="0"/>
    <s v="Returned"/>
    <x v="6"/>
    <s v="Q2"/>
    <n v="2025"/>
    <n v="0.22222222222222221"/>
  </r>
  <r>
    <x v="676"/>
    <x v="281"/>
    <x v="70"/>
    <x v="18"/>
    <s v="P108"/>
    <x v="4"/>
    <x v="1"/>
    <x v="3"/>
    <x v="5"/>
    <n v="6"/>
    <n v="3200"/>
    <n v="20"/>
    <n v="15360"/>
    <n v="13440"/>
    <n v="1920"/>
    <x v="1"/>
    <s v="Delivered"/>
    <x v="11"/>
    <s v="Q3"/>
    <n v="2025"/>
    <n v="0.125"/>
  </r>
  <r>
    <x v="677"/>
    <x v="240"/>
    <x v="21"/>
    <x v="45"/>
    <s v="P106"/>
    <x v="3"/>
    <x v="0"/>
    <x v="3"/>
    <x v="0"/>
    <n v="6"/>
    <n v="9500"/>
    <n v="10"/>
    <n v="51300"/>
    <n v="39900"/>
    <n v="11400"/>
    <x v="0"/>
    <s v="Delivered"/>
    <x v="9"/>
    <s v="Q1"/>
    <n v="2025"/>
    <n v="0.22222222222222221"/>
  </r>
  <r>
    <x v="678"/>
    <x v="160"/>
    <x v="36"/>
    <x v="32"/>
    <s v="P105"/>
    <x v="5"/>
    <x v="2"/>
    <x v="0"/>
    <x v="4"/>
    <n v="4"/>
    <n v="8500"/>
    <n v="15"/>
    <n v="28900"/>
    <n v="23800"/>
    <n v="5100"/>
    <x v="3"/>
    <s v="Pending"/>
    <x v="1"/>
    <s v="Q4"/>
    <n v="2025"/>
    <n v="0.17647058823529413"/>
  </r>
  <r>
    <x v="679"/>
    <x v="305"/>
    <x v="32"/>
    <x v="57"/>
    <s v="P105"/>
    <x v="5"/>
    <x v="2"/>
    <x v="3"/>
    <x v="0"/>
    <n v="4"/>
    <n v="8500"/>
    <n v="20"/>
    <n v="27200"/>
    <n v="23800"/>
    <n v="3400"/>
    <x v="2"/>
    <s v="Delivered"/>
    <x v="6"/>
    <s v="Q2"/>
    <n v="2025"/>
    <n v="0.125"/>
  </r>
  <r>
    <x v="680"/>
    <x v="256"/>
    <x v="79"/>
    <x v="17"/>
    <s v="P102"/>
    <x v="1"/>
    <x v="0"/>
    <x v="3"/>
    <x v="0"/>
    <n v="9"/>
    <n v="800"/>
    <n v="5"/>
    <n v="6840"/>
    <n v="5040"/>
    <n v="1800"/>
    <x v="1"/>
    <s v="Returned"/>
    <x v="2"/>
    <s v="Q2"/>
    <n v="2025"/>
    <n v="0.26315789473684209"/>
  </r>
  <r>
    <x v="681"/>
    <x v="306"/>
    <x v="90"/>
    <x v="48"/>
    <s v="P106"/>
    <x v="3"/>
    <x v="0"/>
    <x v="0"/>
    <x v="5"/>
    <n v="6"/>
    <n v="9500"/>
    <n v="20"/>
    <n v="45600"/>
    <n v="39900"/>
    <n v="5700"/>
    <x v="2"/>
    <s v="Delivered"/>
    <x v="5"/>
    <s v="Q3"/>
    <n v="2025"/>
    <n v="0.125"/>
  </r>
  <r>
    <x v="682"/>
    <x v="125"/>
    <x v="32"/>
    <x v="97"/>
    <s v="P102"/>
    <x v="1"/>
    <x v="0"/>
    <x v="3"/>
    <x v="5"/>
    <n v="8"/>
    <n v="800"/>
    <n v="15"/>
    <n v="5440"/>
    <n v="4480"/>
    <n v="960"/>
    <x v="3"/>
    <s v="Returned"/>
    <x v="5"/>
    <s v="Q3"/>
    <n v="2025"/>
    <n v="0.17647058823529413"/>
  </r>
  <r>
    <x v="683"/>
    <x v="117"/>
    <x v="57"/>
    <x v="37"/>
    <s v="P108"/>
    <x v="4"/>
    <x v="1"/>
    <x v="2"/>
    <x v="2"/>
    <n v="6"/>
    <n v="3200"/>
    <n v="20"/>
    <n v="15360"/>
    <n v="13440"/>
    <n v="1920"/>
    <x v="0"/>
    <s v="Delivered"/>
    <x v="1"/>
    <s v="Q4"/>
    <n v="2025"/>
    <n v="0.125"/>
  </r>
  <r>
    <x v="684"/>
    <x v="256"/>
    <x v="1"/>
    <x v="58"/>
    <s v="P101"/>
    <x v="2"/>
    <x v="0"/>
    <x v="3"/>
    <x v="0"/>
    <n v="2"/>
    <n v="55000"/>
    <n v="15"/>
    <n v="93500"/>
    <n v="77000"/>
    <n v="16500"/>
    <x v="1"/>
    <s v="Delivered"/>
    <x v="2"/>
    <s v="Q2"/>
    <n v="2025"/>
    <n v="0.17647058823529413"/>
  </r>
  <r>
    <x v="685"/>
    <x v="307"/>
    <x v="89"/>
    <x v="77"/>
    <s v="P104"/>
    <x v="7"/>
    <x v="2"/>
    <x v="1"/>
    <x v="0"/>
    <n v="4"/>
    <n v="4500"/>
    <n v="5"/>
    <n v="17100"/>
    <n v="12600"/>
    <n v="4500"/>
    <x v="0"/>
    <s v="Returned"/>
    <x v="3"/>
    <s v="Q1"/>
    <n v="2025"/>
    <n v="0.26315789473684209"/>
  </r>
  <r>
    <x v="686"/>
    <x v="167"/>
    <x v="83"/>
    <x v="22"/>
    <s v="P101"/>
    <x v="2"/>
    <x v="0"/>
    <x v="3"/>
    <x v="5"/>
    <n v="2"/>
    <n v="55000"/>
    <n v="10"/>
    <n v="99000"/>
    <n v="77000"/>
    <n v="22000"/>
    <x v="2"/>
    <s v="Pending"/>
    <x v="5"/>
    <s v="Q3"/>
    <n v="2025"/>
    <n v="0.22222222222222221"/>
  </r>
  <r>
    <x v="687"/>
    <x v="253"/>
    <x v="4"/>
    <x v="58"/>
    <s v="P103"/>
    <x v="6"/>
    <x v="0"/>
    <x v="2"/>
    <x v="2"/>
    <n v="3"/>
    <n v="1500"/>
    <n v="10"/>
    <n v="4050"/>
    <n v="3150"/>
    <n v="900"/>
    <x v="2"/>
    <s v="Delivered"/>
    <x v="11"/>
    <s v="Q3"/>
    <n v="2025"/>
    <n v="0.22222222222222221"/>
  </r>
  <r>
    <x v="688"/>
    <x v="271"/>
    <x v="59"/>
    <x v="35"/>
    <s v="P105"/>
    <x v="5"/>
    <x v="2"/>
    <x v="0"/>
    <x v="2"/>
    <n v="1"/>
    <n v="8500"/>
    <n v="10"/>
    <n v="7650"/>
    <n v="5950"/>
    <n v="1700"/>
    <x v="1"/>
    <s v="Delivered"/>
    <x v="8"/>
    <s v="Q3"/>
    <n v="2025"/>
    <n v="0.22222222222222221"/>
  </r>
  <r>
    <x v="689"/>
    <x v="287"/>
    <x v="66"/>
    <x v="46"/>
    <s v="P102"/>
    <x v="1"/>
    <x v="0"/>
    <x v="1"/>
    <x v="2"/>
    <n v="8"/>
    <n v="800"/>
    <n v="15"/>
    <n v="5440"/>
    <n v="4480"/>
    <n v="960"/>
    <x v="2"/>
    <s v="Returned"/>
    <x v="2"/>
    <s v="Q2"/>
    <n v="2025"/>
    <n v="0.17647058823529413"/>
  </r>
  <r>
    <x v="690"/>
    <x v="308"/>
    <x v="83"/>
    <x v="61"/>
    <s v="P107"/>
    <x v="0"/>
    <x v="0"/>
    <x v="0"/>
    <x v="1"/>
    <n v="7"/>
    <n v="3500"/>
    <n v="0"/>
    <n v="24500"/>
    <n v="17150"/>
    <n v="7350"/>
    <x v="0"/>
    <s v="Pending"/>
    <x v="11"/>
    <s v="Q3"/>
    <n v="2025"/>
    <n v="0.3"/>
  </r>
  <r>
    <x v="691"/>
    <x v="220"/>
    <x v="76"/>
    <x v="78"/>
    <s v="P101"/>
    <x v="2"/>
    <x v="0"/>
    <x v="1"/>
    <x v="1"/>
    <n v="10"/>
    <n v="55000"/>
    <n v="0"/>
    <n v="550000"/>
    <n v="385000"/>
    <n v="165000"/>
    <x v="2"/>
    <s v="Returned"/>
    <x v="7"/>
    <s v="Q1"/>
    <n v="2025"/>
    <n v="0.3"/>
  </r>
  <r>
    <x v="692"/>
    <x v="85"/>
    <x v="60"/>
    <x v="29"/>
    <s v="P106"/>
    <x v="3"/>
    <x v="0"/>
    <x v="0"/>
    <x v="5"/>
    <n v="8"/>
    <n v="9500"/>
    <n v="15"/>
    <n v="64600"/>
    <n v="53200"/>
    <n v="11400"/>
    <x v="3"/>
    <s v="Returned"/>
    <x v="4"/>
    <s v="Q4"/>
    <n v="2025"/>
    <n v="0.17647058823529413"/>
  </r>
  <r>
    <x v="693"/>
    <x v="88"/>
    <x v="82"/>
    <x v="89"/>
    <s v="P103"/>
    <x v="6"/>
    <x v="0"/>
    <x v="0"/>
    <x v="2"/>
    <n v="5"/>
    <n v="1500"/>
    <n v="20"/>
    <n v="6000"/>
    <n v="5250"/>
    <n v="750"/>
    <x v="3"/>
    <s v="Returned"/>
    <x v="7"/>
    <s v="Q1"/>
    <n v="2025"/>
    <n v="0.125"/>
  </r>
  <r>
    <x v="694"/>
    <x v="225"/>
    <x v="83"/>
    <x v="48"/>
    <s v="P108"/>
    <x v="4"/>
    <x v="1"/>
    <x v="3"/>
    <x v="3"/>
    <n v="7"/>
    <n v="3200"/>
    <n v="15"/>
    <n v="19040"/>
    <n v="15680"/>
    <n v="3360.0000000000018"/>
    <x v="0"/>
    <s v="Delivered"/>
    <x v="0"/>
    <s v="Q4"/>
    <n v="2025"/>
    <n v="0.17647058823529421"/>
  </r>
  <r>
    <x v="695"/>
    <x v="261"/>
    <x v="83"/>
    <x v="21"/>
    <s v="P101"/>
    <x v="2"/>
    <x v="0"/>
    <x v="0"/>
    <x v="4"/>
    <n v="7"/>
    <n v="55000"/>
    <n v="10"/>
    <n v="346500"/>
    <n v="269500"/>
    <n v="77000"/>
    <x v="2"/>
    <s v="Delivered"/>
    <x v="2"/>
    <s v="Q2"/>
    <n v="2025"/>
    <n v="0.22222222222222221"/>
  </r>
  <r>
    <x v="696"/>
    <x v="149"/>
    <x v="21"/>
    <x v="17"/>
    <s v="P103"/>
    <x v="6"/>
    <x v="0"/>
    <x v="2"/>
    <x v="1"/>
    <n v="6"/>
    <n v="1500"/>
    <n v="5"/>
    <n v="8550"/>
    <n v="6300"/>
    <n v="2250"/>
    <x v="1"/>
    <s v="Delivered"/>
    <x v="2"/>
    <s v="Q2"/>
    <n v="2025"/>
    <n v="0.26315789473684209"/>
  </r>
  <r>
    <x v="697"/>
    <x v="309"/>
    <x v="54"/>
    <x v="89"/>
    <s v="P104"/>
    <x v="7"/>
    <x v="2"/>
    <x v="3"/>
    <x v="3"/>
    <n v="8"/>
    <n v="4500"/>
    <n v="20"/>
    <n v="28800"/>
    <n v="25200"/>
    <n v="3600"/>
    <x v="1"/>
    <s v="Pending"/>
    <x v="11"/>
    <s v="Q3"/>
    <n v="2025"/>
    <n v="0.125"/>
  </r>
  <r>
    <x v="698"/>
    <x v="124"/>
    <x v="7"/>
    <x v="28"/>
    <s v="P106"/>
    <x v="3"/>
    <x v="0"/>
    <x v="0"/>
    <x v="3"/>
    <n v="3"/>
    <n v="9500"/>
    <n v="20"/>
    <n v="22800"/>
    <n v="19950"/>
    <n v="2850"/>
    <x v="1"/>
    <s v="Delivered"/>
    <x v="5"/>
    <s v="Q3"/>
    <n v="2025"/>
    <n v="0.125"/>
  </r>
  <r>
    <x v="699"/>
    <x v="108"/>
    <x v="98"/>
    <x v="34"/>
    <s v="P105"/>
    <x v="5"/>
    <x v="2"/>
    <x v="1"/>
    <x v="4"/>
    <n v="8"/>
    <n v="8500"/>
    <n v="15"/>
    <n v="57800"/>
    <n v="47600"/>
    <n v="10200"/>
    <x v="1"/>
    <s v="Pending"/>
    <x v="1"/>
    <s v="Q4"/>
    <n v="2025"/>
    <n v="0.17647058823529413"/>
  </r>
  <r>
    <x v="700"/>
    <x v="188"/>
    <x v="85"/>
    <x v="95"/>
    <s v="P106"/>
    <x v="3"/>
    <x v="0"/>
    <x v="3"/>
    <x v="0"/>
    <n v="7"/>
    <n v="9500"/>
    <n v="5"/>
    <n v="63175"/>
    <n v="46550"/>
    <n v="16625"/>
    <x v="0"/>
    <s v="Pending"/>
    <x v="9"/>
    <s v="Q1"/>
    <n v="2025"/>
    <n v="0.26315789473684209"/>
  </r>
  <r>
    <x v="701"/>
    <x v="18"/>
    <x v="35"/>
    <x v="86"/>
    <s v="P101"/>
    <x v="2"/>
    <x v="0"/>
    <x v="3"/>
    <x v="5"/>
    <n v="1"/>
    <n v="55000"/>
    <n v="5"/>
    <n v="52250"/>
    <n v="38500"/>
    <n v="13750"/>
    <x v="0"/>
    <s v="Returned"/>
    <x v="4"/>
    <s v="Q4"/>
    <n v="2025"/>
    <n v="0.26315789473684209"/>
  </r>
  <r>
    <x v="702"/>
    <x v="50"/>
    <x v="70"/>
    <x v="38"/>
    <s v="P107"/>
    <x v="0"/>
    <x v="0"/>
    <x v="2"/>
    <x v="4"/>
    <n v="4"/>
    <n v="3500"/>
    <n v="10"/>
    <n v="12600"/>
    <n v="9800"/>
    <n v="2800"/>
    <x v="1"/>
    <s v="Delivered"/>
    <x v="7"/>
    <s v="Q1"/>
    <n v="2025"/>
    <n v="0.22222222222222221"/>
  </r>
  <r>
    <x v="703"/>
    <x v="132"/>
    <x v="88"/>
    <x v="50"/>
    <s v="P104"/>
    <x v="7"/>
    <x v="2"/>
    <x v="3"/>
    <x v="4"/>
    <n v="10"/>
    <n v="4500"/>
    <n v="20"/>
    <n v="36000"/>
    <n v="31500"/>
    <n v="4500.0000000000036"/>
    <x v="2"/>
    <s v="Pending"/>
    <x v="3"/>
    <s v="Q1"/>
    <n v="2025"/>
    <n v="0.12500000000000011"/>
  </r>
  <r>
    <x v="704"/>
    <x v="282"/>
    <x v="53"/>
    <x v="55"/>
    <s v="P106"/>
    <x v="3"/>
    <x v="0"/>
    <x v="1"/>
    <x v="4"/>
    <n v="6"/>
    <n v="9500"/>
    <n v="0"/>
    <n v="57000"/>
    <n v="39900"/>
    <n v="17100"/>
    <x v="2"/>
    <s v="Delivered"/>
    <x v="11"/>
    <s v="Q3"/>
    <n v="2025"/>
    <n v="0.3"/>
  </r>
  <r>
    <x v="705"/>
    <x v="276"/>
    <x v="82"/>
    <x v="37"/>
    <s v="P101"/>
    <x v="2"/>
    <x v="0"/>
    <x v="0"/>
    <x v="5"/>
    <n v="10"/>
    <n v="55000"/>
    <n v="0"/>
    <n v="550000"/>
    <n v="385000"/>
    <n v="165000"/>
    <x v="3"/>
    <s v="Pending"/>
    <x v="2"/>
    <s v="Q2"/>
    <n v="2025"/>
    <n v="0.3"/>
  </r>
  <r>
    <x v="706"/>
    <x v="279"/>
    <x v="27"/>
    <x v="68"/>
    <s v="P103"/>
    <x v="6"/>
    <x v="0"/>
    <x v="1"/>
    <x v="0"/>
    <n v="5"/>
    <n v="1500"/>
    <n v="15"/>
    <n v="6375"/>
    <n v="5250"/>
    <n v="1125"/>
    <x v="0"/>
    <s v="Delivered"/>
    <x v="6"/>
    <s v="Q2"/>
    <n v="2025"/>
    <n v="0.17647058823529413"/>
  </r>
  <r>
    <x v="707"/>
    <x v="11"/>
    <x v="83"/>
    <x v="35"/>
    <s v="P102"/>
    <x v="1"/>
    <x v="0"/>
    <x v="0"/>
    <x v="5"/>
    <n v="9"/>
    <n v="800"/>
    <n v="5"/>
    <n v="6840"/>
    <n v="5040"/>
    <n v="1800"/>
    <x v="1"/>
    <s v="Pending"/>
    <x v="3"/>
    <s v="Q1"/>
    <n v="2025"/>
    <n v="0.26315789473684209"/>
  </r>
  <r>
    <x v="708"/>
    <x v="47"/>
    <x v="85"/>
    <x v="59"/>
    <s v="P101"/>
    <x v="2"/>
    <x v="0"/>
    <x v="1"/>
    <x v="1"/>
    <n v="3"/>
    <n v="55000"/>
    <n v="0"/>
    <n v="165000"/>
    <n v="115500"/>
    <n v="49500.000000000007"/>
    <x v="0"/>
    <s v="Delivered"/>
    <x v="4"/>
    <s v="Q4"/>
    <n v="2025"/>
    <n v="0.30000000000000004"/>
  </r>
  <r>
    <x v="709"/>
    <x v="310"/>
    <x v="14"/>
    <x v="55"/>
    <s v="P102"/>
    <x v="1"/>
    <x v="0"/>
    <x v="1"/>
    <x v="3"/>
    <n v="10"/>
    <n v="800"/>
    <n v="15"/>
    <n v="6800"/>
    <n v="5600"/>
    <n v="1200"/>
    <x v="1"/>
    <s v="Pending"/>
    <x v="7"/>
    <s v="Q1"/>
    <n v="2025"/>
    <n v="0.17647058823529413"/>
  </r>
  <r>
    <x v="710"/>
    <x v="52"/>
    <x v="88"/>
    <x v="16"/>
    <s v="P106"/>
    <x v="3"/>
    <x v="0"/>
    <x v="1"/>
    <x v="0"/>
    <n v="2"/>
    <n v="9500"/>
    <n v="0"/>
    <n v="19000"/>
    <n v="13300"/>
    <n v="5700"/>
    <x v="2"/>
    <s v="Returned"/>
    <x v="10"/>
    <s v="Q2"/>
    <n v="2025"/>
    <n v="0.3"/>
  </r>
  <r>
    <x v="711"/>
    <x v="204"/>
    <x v="91"/>
    <x v="62"/>
    <s v="P102"/>
    <x v="1"/>
    <x v="0"/>
    <x v="2"/>
    <x v="5"/>
    <n v="5"/>
    <n v="800"/>
    <n v="0"/>
    <n v="4000"/>
    <n v="2800"/>
    <n v="1200"/>
    <x v="0"/>
    <s v="Delivered"/>
    <x v="7"/>
    <s v="Q1"/>
    <n v="2025"/>
    <n v="0.3"/>
  </r>
  <r>
    <x v="712"/>
    <x v="90"/>
    <x v="53"/>
    <x v="38"/>
    <s v="P101"/>
    <x v="2"/>
    <x v="0"/>
    <x v="2"/>
    <x v="3"/>
    <n v="10"/>
    <n v="55000"/>
    <n v="15"/>
    <n v="467500"/>
    <n v="385000"/>
    <n v="82500"/>
    <x v="2"/>
    <s v="Delivered"/>
    <x v="6"/>
    <s v="Q2"/>
    <n v="2025"/>
    <n v="0.17647058823529413"/>
  </r>
  <r>
    <x v="713"/>
    <x v="261"/>
    <x v="46"/>
    <x v="17"/>
    <s v="P105"/>
    <x v="5"/>
    <x v="2"/>
    <x v="0"/>
    <x v="3"/>
    <n v="4"/>
    <n v="8500"/>
    <n v="20"/>
    <n v="27200"/>
    <n v="23800"/>
    <n v="3400"/>
    <x v="3"/>
    <s v="Delivered"/>
    <x v="2"/>
    <s v="Q2"/>
    <n v="2025"/>
    <n v="0.125"/>
  </r>
  <r>
    <x v="714"/>
    <x v="40"/>
    <x v="60"/>
    <x v="37"/>
    <s v="P108"/>
    <x v="4"/>
    <x v="1"/>
    <x v="3"/>
    <x v="2"/>
    <n v="7"/>
    <n v="3200"/>
    <n v="15"/>
    <n v="19040"/>
    <n v="15680"/>
    <n v="3360.0000000000018"/>
    <x v="2"/>
    <s v="Pending"/>
    <x v="2"/>
    <s v="Q2"/>
    <n v="2025"/>
    <n v="0.17647058823529421"/>
  </r>
  <r>
    <x v="715"/>
    <x v="311"/>
    <x v="46"/>
    <x v="26"/>
    <s v="P103"/>
    <x v="6"/>
    <x v="0"/>
    <x v="3"/>
    <x v="1"/>
    <n v="7"/>
    <n v="1500"/>
    <n v="10"/>
    <n v="9450"/>
    <n v="7349.9999999999991"/>
    <n v="2100.0000000000009"/>
    <x v="1"/>
    <s v="Pending"/>
    <x v="6"/>
    <s v="Q2"/>
    <n v="2025"/>
    <n v="0.22222222222222232"/>
  </r>
  <r>
    <x v="716"/>
    <x v="312"/>
    <x v="93"/>
    <x v="28"/>
    <s v="P105"/>
    <x v="5"/>
    <x v="2"/>
    <x v="0"/>
    <x v="1"/>
    <n v="8"/>
    <n v="8500"/>
    <n v="15"/>
    <n v="57800"/>
    <n v="47600"/>
    <n v="10200"/>
    <x v="3"/>
    <s v="Returned"/>
    <x v="5"/>
    <s v="Q3"/>
    <n v="2025"/>
    <n v="0.17647058823529413"/>
  </r>
  <r>
    <x v="717"/>
    <x v="161"/>
    <x v="87"/>
    <x v="92"/>
    <s v="P104"/>
    <x v="7"/>
    <x v="2"/>
    <x v="3"/>
    <x v="4"/>
    <n v="10"/>
    <n v="4500"/>
    <n v="5"/>
    <n v="42750"/>
    <n v="31500"/>
    <n v="11250"/>
    <x v="0"/>
    <s v="Delivered"/>
    <x v="0"/>
    <s v="Q4"/>
    <n v="2025"/>
    <n v="0.26315789473684209"/>
  </r>
  <r>
    <x v="718"/>
    <x v="84"/>
    <x v="79"/>
    <x v="8"/>
    <s v="P105"/>
    <x v="5"/>
    <x v="2"/>
    <x v="2"/>
    <x v="2"/>
    <n v="3"/>
    <n v="8500"/>
    <n v="5"/>
    <n v="24225"/>
    <n v="17850"/>
    <n v="6375"/>
    <x v="2"/>
    <s v="Pending"/>
    <x v="11"/>
    <s v="Q3"/>
    <n v="2025"/>
    <n v="0.26315789473684209"/>
  </r>
  <r>
    <x v="719"/>
    <x v="100"/>
    <x v="21"/>
    <x v="65"/>
    <s v="P107"/>
    <x v="0"/>
    <x v="0"/>
    <x v="2"/>
    <x v="0"/>
    <n v="7"/>
    <n v="3500"/>
    <n v="10"/>
    <n v="22050"/>
    <n v="17150"/>
    <n v="4900"/>
    <x v="1"/>
    <s v="Returned"/>
    <x v="3"/>
    <s v="Q1"/>
    <n v="2025"/>
    <n v="0.22222222222222221"/>
  </r>
  <r>
    <x v="720"/>
    <x v="309"/>
    <x v="73"/>
    <x v="55"/>
    <s v="P102"/>
    <x v="1"/>
    <x v="0"/>
    <x v="1"/>
    <x v="5"/>
    <n v="10"/>
    <n v="800"/>
    <n v="5"/>
    <n v="7600"/>
    <n v="5600"/>
    <n v="2000"/>
    <x v="3"/>
    <s v="Returned"/>
    <x v="11"/>
    <s v="Q3"/>
    <n v="2025"/>
    <n v="0.26315789473684209"/>
  </r>
  <r>
    <x v="721"/>
    <x v="198"/>
    <x v="52"/>
    <x v="44"/>
    <s v="P108"/>
    <x v="4"/>
    <x v="1"/>
    <x v="0"/>
    <x v="3"/>
    <n v="2"/>
    <n v="3200"/>
    <n v="10"/>
    <n v="5760"/>
    <n v="4480"/>
    <n v="1280"/>
    <x v="3"/>
    <s v="Delivered"/>
    <x v="0"/>
    <s v="Q4"/>
    <n v="2025"/>
    <n v="0.22222222222222221"/>
  </r>
  <r>
    <x v="722"/>
    <x v="50"/>
    <x v="73"/>
    <x v="54"/>
    <s v="P104"/>
    <x v="7"/>
    <x v="2"/>
    <x v="2"/>
    <x v="1"/>
    <n v="1"/>
    <n v="4500"/>
    <n v="5"/>
    <n v="4275"/>
    <n v="3150"/>
    <n v="1125"/>
    <x v="0"/>
    <s v="Delivered"/>
    <x v="7"/>
    <s v="Q1"/>
    <n v="2025"/>
    <n v="0.26315789473684209"/>
  </r>
  <r>
    <x v="723"/>
    <x v="189"/>
    <x v="19"/>
    <x v="44"/>
    <s v="P102"/>
    <x v="1"/>
    <x v="0"/>
    <x v="0"/>
    <x v="0"/>
    <n v="4"/>
    <n v="800"/>
    <n v="5"/>
    <n v="3040"/>
    <n v="2240"/>
    <n v="800"/>
    <x v="0"/>
    <s v="Returned"/>
    <x v="5"/>
    <s v="Q3"/>
    <n v="2025"/>
    <n v="0.26315789473684209"/>
  </r>
  <r>
    <x v="724"/>
    <x v="268"/>
    <x v="79"/>
    <x v="41"/>
    <s v="P106"/>
    <x v="3"/>
    <x v="0"/>
    <x v="2"/>
    <x v="2"/>
    <n v="8"/>
    <n v="9500"/>
    <n v="5"/>
    <n v="72200"/>
    <n v="53200"/>
    <n v="19000"/>
    <x v="3"/>
    <s v="Pending"/>
    <x v="10"/>
    <s v="Q2"/>
    <n v="2025"/>
    <n v="0.26315789473684209"/>
  </r>
  <r>
    <x v="725"/>
    <x v="187"/>
    <x v="6"/>
    <x v="15"/>
    <s v="P105"/>
    <x v="5"/>
    <x v="2"/>
    <x v="0"/>
    <x v="1"/>
    <n v="6"/>
    <n v="8500"/>
    <n v="5"/>
    <n v="48450"/>
    <n v="35700"/>
    <n v="12750"/>
    <x v="1"/>
    <s v="Delivered"/>
    <x v="3"/>
    <s v="Q1"/>
    <n v="2025"/>
    <n v="0.26315789473684209"/>
  </r>
  <r>
    <x v="726"/>
    <x v="50"/>
    <x v="26"/>
    <x v="97"/>
    <s v="P104"/>
    <x v="7"/>
    <x v="2"/>
    <x v="1"/>
    <x v="0"/>
    <n v="10"/>
    <n v="4500"/>
    <n v="0"/>
    <n v="45000"/>
    <n v="31500"/>
    <n v="13500"/>
    <x v="0"/>
    <s v="Returned"/>
    <x v="7"/>
    <s v="Q1"/>
    <n v="2025"/>
    <n v="0.3"/>
  </r>
  <r>
    <x v="727"/>
    <x v="54"/>
    <x v="30"/>
    <x v="86"/>
    <s v="P104"/>
    <x v="7"/>
    <x v="2"/>
    <x v="3"/>
    <x v="4"/>
    <n v="4"/>
    <n v="4500"/>
    <n v="5"/>
    <n v="17100"/>
    <n v="12600"/>
    <n v="4500"/>
    <x v="2"/>
    <s v="Delivered"/>
    <x v="10"/>
    <s v="Q2"/>
    <n v="2025"/>
    <n v="0.26315789473684209"/>
  </r>
  <r>
    <x v="728"/>
    <x v="110"/>
    <x v="86"/>
    <x v="88"/>
    <s v="P105"/>
    <x v="5"/>
    <x v="2"/>
    <x v="2"/>
    <x v="4"/>
    <n v="1"/>
    <n v="8500"/>
    <n v="20"/>
    <n v="6800"/>
    <n v="5950"/>
    <n v="850"/>
    <x v="1"/>
    <s v="Pending"/>
    <x v="10"/>
    <s v="Q2"/>
    <n v="2025"/>
    <n v="0.125"/>
  </r>
  <r>
    <x v="729"/>
    <x v="68"/>
    <x v="70"/>
    <x v="81"/>
    <s v="P101"/>
    <x v="2"/>
    <x v="0"/>
    <x v="3"/>
    <x v="0"/>
    <n v="5"/>
    <n v="55000"/>
    <n v="5"/>
    <n v="261250"/>
    <n v="192500"/>
    <n v="68750"/>
    <x v="3"/>
    <s v="Returned"/>
    <x v="5"/>
    <s v="Q3"/>
    <n v="2025"/>
    <n v="0.26315789473684209"/>
  </r>
  <r>
    <x v="730"/>
    <x v="191"/>
    <x v="57"/>
    <x v="31"/>
    <s v="P104"/>
    <x v="7"/>
    <x v="2"/>
    <x v="2"/>
    <x v="0"/>
    <n v="1"/>
    <n v="4500"/>
    <n v="5"/>
    <n v="4275"/>
    <n v="3150"/>
    <n v="1125"/>
    <x v="1"/>
    <s v="Pending"/>
    <x v="2"/>
    <s v="Q2"/>
    <n v="2025"/>
    <n v="0.26315789473684209"/>
  </r>
  <r>
    <x v="731"/>
    <x v="42"/>
    <x v="94"/>
    <x v="49"/>
    <s v="P105"/>
    <x v="5"/>
    <x v="2"/>
    <x v="1"/>
    <x v="5"/>
    <n v="10"/>
    <n v="8500"/>
    <n v="15"/>
    <n v="72250"/>
    <n v="59499.999999999993"/>
    <n v="12750.000000000009"/>
    <x v="1"/>
    <s v="Delivered"/>
    <x v="4"/>
    <s v="Q4"/>
    <n v="2025"/>
    <n v="0.17647058823529424"/>
  </r>
  <r>
    <x v="732"/>
    <x v="260"/>
    <x v="61"/>
    <x v="15"/>
    <s v="P108"/>
    <x v="4"/>
    <x v="1"/>
    <x v="3"/>
    <x v="2"/>
    <n v="2"/>
    <n v="3200"/>
    <n v="0"/>
    <n v="6400"/>
    <n v="4480"/>
    <n v="1920"/>
    <x v="2"/>
    <s v="Returned"/>
    <x v="9"/>
    <s v="Q1"/>
    <n v="2025"/>
    <n v="0.3"/>
  </r>
  <r>
    <x v="733"/>
    <x v="267"/>
    <x v="19"/>
    <x v="2"/>
    <s v="P106"/>
    <x v="3"/>
    <x v="0"/>
    <x v="1"/>
    <x v="3"/>
    <n v="3"/>
    <n v="9500"/>
    <n v="0"/>
    <n v="28500"/>
    <n v="19950"/>
    <n v="8550"/>
    <x v="1"/>
    <s v="Delivered"/>
    <x v="11"/>
    <s v="Q3"/>
    <n v="2025"/>
    <n v="0.3"/>
  </r>
  <r>
    <x v="734"/>
    <x v="215"/>
    <x v="79"/>
    <x v="13"/>
    <s v="P104"/>
    <x v="7"/>
    <x v="2"/>
    <x v="2"/>
    <x v="2"/>
    <n v="7"/>
    <n v="4500"/>
    <n v="20"/>
    <n v="25200"/>
    <n v="22050"/>
    <n v="3150"/>
    <x v="0"/>
    <s v="Pending"/>
    <x v="4"/>
    <s v="Q4"/>
    <n v="2025"/>
    <n v="0.125"/>
  </r>
  <r>
    <x v="735"/>
    <x v="32"/>
    <x v="89"/>
    <x v="84"/>
    <s v="P103"/>
    <x v="6"/>
    <x v="0"/>
    <x v="2"/>
    <x v="4"/>
    <n v="8"/>
    <n v="1500"/>
    <n v="10"/>
    <n v="10800"/>
    <n v="8400"/>
    <n v="2400"/>
    <x v="3"/>
    <s v="Pending"/>
    <x v="10"/>
    <s v="Q2"/>
    <n v="2025"/>
    <n v="0.22222222222222221"/>
  </r>
  <r>
    <x v="736"/>
    <x v="114"/>
    <x v="25"/>
    <x v="97"/>
    <s v="P101"/>
    <x v="2"/>
    <x v="0"/>
    <x v="0"/>
    <x v="5"/>
    <n v="2"/>
    <n v="55000"/>
    <n v="15"/>
    <n v="93500"/>
    <n v="77000"/>
    <n v="16500"/>
    <x v="2"/>
    <s v="Delivered"/>
    <x v="1"/>
    <s v="Q4"/>
    <n v="2025"/>
    <n v="0.17647058823529413"/>
  </r>
  <r>
    <x v="737"/>
    <x v="161"/>
    <x v="90"/>
    <x v="36"/>
    <s v="P107"/>
    <x v="0"/>
    <x v="0"/>
    <x v="2"/>
    <x v="3"/>
    <n v="4"/>
    <n v="3500"/>
    <n v="15"/>
    <n v="11900"/>
    <n v="9800"/>
    <n v="2100"/>
    <x v="1"/>
    <s v="Returned"/>
    <x v="0"/>
    <s v="Q4"/>
    <n v="2025"/>
    <n v="0.17647058823529413"/>
  </r>
  <r>
    <x v="738"/>
    <x v="211"/>
    <x v="18"/>
    <x v="61"/>
    <s v="P108"/>
    <x v="4"/>
    <x v="1"/>
    <x v="1"/>
    <x v="1"/>
    <n v="1"/>
    <n v="3200"/>
    <n v="5"/>
    <n v="3040"/>
    <n v="2240"/>
    <n v="800"/>
    <x v="2"/>
    <s v="Returned"/>
    <x v="9"/>
    <s v="Q1"/>
    <n v="2025"/>
    <n v="0.26315789473684209"/>
  </r>
  <r>
    <x v="739"/>
    <x v="35"/>
    <x v="42"/>
    <x v="4"/>
    <s v="P104"/>
    <x v="7"/>
    <x v="2"/>
    <x v="1"/>
    <x v="0"/>
    <n v="3"/>
    <n v="4500"/>
    <n v="10"/>
    <n v="12150"/>
    <n v="9450"/>
    <n v="2700"/>
    <x v="2"/>
    <s v="Returned"/>
    <x v="0"/>
    <s v="Q4"/>
    <n v="2025"/>
    <n v="0.22222222222222221"/>
  </r>
  <r>
    <x v="740"/>
    <x v="109"/>
    <x v="3"/>
    <x v="65"/>
    <s v="P105"/>
    <x v="5"/>
    <x v="2"/>
    <x v="1"/>
    <x v="4"/>
    <n v="3"/>
    <n v="8500"/>
    <n v="15"/>
    <n v="21675"/>
    <n v="17850"/>
    <n v="3825"/>
    <x v="1"/>
    <s v="Pending"/>
    <x v="1"/>
    <s v="Q4"/>
    <n v="2025"/>
    <n v="0.17647058823529413"/>
  </r>
  <r>
    <x v="741"/>
    <x v="3"/>
    <x v="13"/>
    <x v="58"/>
    <s v="P101"/>
    <x v="2"/>
    <x v="0"/>
    <x v="2"/>
    <x v="0"/>
    <n v="6"/>
    <n v="55000"/>
    <n v="0"/>
    <n v="330000"/>
    <n v="231000"/>
    <n v="99000.000000000029"/>
    <x v="3"/>
    <s v="Delivered"/>
    <x v="3"/>
    <s v="Q1"/>
    <n v="2025"/>
    <n v="0.3000000000000001"/>
  </r>
  <r>
    <x v="742"/>
    <x v="313"/>
    <x v="9"/>
    <x v="19"/>
    <s v="P108"/>
    <x v="4"/>
    <x v="1"/>
    <x v="3"/>
    <x v="4"/>
    <n v="2"/>
    <n v="3200"/>
    <n v="15"/>
    <n v="5440"/>
    <n v="4480"/>
    <n v="960"/>
    <x v="0"/>
    <s v="Delivered"/>
    <x v="3"/>
    <s v="Q1"/>
    <n v="2025"/>
    <n v="0.17647058823529413"/>
  </r>
  <r>
    <x v="743"/>
    <x v="116"/>
    <x v="41"/>
    <x v="27"/>
    <s v="P104"/>
    <x v="7"/>
    <x v="2"/>
    <x v="3"/>
    <x v="2"/>
    <n v="7"/>
    <n v="4500"/>
    <n v="5"/>
    <n v="29925"/>
    <n v="22050"/>
    <n v="7875"/>
    <x v="2"/>
    <s v="Delivered"/>
    <x v="10"/>
    <s v="Q2"/>
    <n v="2025"/>
    <n v="0.26315789473684209"/>
  </r>
  <r>
    <x v="744"/>
    <x v="56"/>
    <x v="72"/>
    <x v="27"/>
    <s v="P107"/>
    <x v="0"/>
    <x v="0"/>
    <x v="1"/>
    <x v="0"/>
    <n v="9"/>
    <n v="3500"/>
    <n v="20"/>
    <n v="25200"/>
    <n v="22050"/>
    <n v="3150"/>
    <x v="3"/>
    <s v="Returned"/>
    <x v="7"/>
    <s v="Q1"/>
    <n v="2025"/>
    <n v="0.125"/>
  </r>
  <r>
    <x v="745"/>
    <x v="181"/>
    <x v="0"/>
    <x v="25"/>
    <s v="P103"/>
    <x v="6"/>
    <x v="0"/>
    <x v="3"/>
    <x v="3"/>
    <n v="1"/>
    <n v="1500"/>
    <n v="15"/>
    <n v="1275"/>
    <n v="1050"/>
    <n v="225"/>
    <x v="0"/>
    <s v="Delivered"/>
    <x v="8"/>
    <s v="Q3"/>
    <n v="2025"/>
    <n v="0.17647058823529413"/>
  </r>
  <r>
    <x v="746"/>
    <x v="282"/>
    <x v="64"/>
    <x v="24"/>
    <s v="P102"/>
    <x v="1"/>
    <x v="0"/>
    <x v="1"/>
    <x v="4"/>
    <n v="9"/>
    <n v="800"/>
    <n v="10"/>
    <n v="6480"/>
    <n v="5040"/>
    <n v="1440"/>
    <x v="3"/>
    <s v="Returned"/>
    <x v="11"/>
    <s v="Q3"/>
    <n v="2025"/>
    <n v="0.22222222222222221"/>
  </r>
  <r>
    <x v="747"/>
    <x v="143"/>
    <x v="52"/>
    <x v="53"/>
    <s v="P103"/>
    <x v="6"/>
    <x v="0"/>
    <x v="1"/>
    <x v="5"/>
    <n v="8"/>
    <n v="1500"/>
    <n v="0"/>
    <n v="12000"/>
    <n v="8400"/>
    <n v="3600"/>
    <x v="0"/>
    <s v="Delivered"/>
    <x v="3"/>
    <s v="Q1"/>
    <n v="2025"/>
    <n v="0.3"/>
  </r>
  <r>
    <x v="748"/>
    <x v="256"/>
    <x v="18"/>
    <x v="76"/>
    <s v="P106"/>
    <x v="3"/>
    <x v="0"/>
    <x v="0"/>
    <x v="1"/>
    <n v="5"/>
    <n v="9500"/>
    <n v="0"/>
    <n v="47500"/>
    <n v="33250"/>
    <n v="14250"/>
    <x v="0"/>
    <s v="Pending"/>
    <x v="2"/>
    <s v="Q2"/>
    <n v="2025"/>
    <n v="0.3"/>
  </r>
  <r>
    <x v="749"/>
    <x v="44"/>
    <x v="38"/>
    <x v="35"/>
    <s v="P106"/>
    <x v="3"/>
    <x v="0"/>
    <x v="2"/>
    <x v="4"/>
    <n v="3"/>
    <n v="9500"/>
    <n v="10"/>
    <n v="25650"/>
    <n v="19950"/>
    <n v="5700"/>
    <x v="1"/>
    <s v="Delivered"/>
    <x v="6"/>
    <s v="Q2"/>
    <n v="2025"/>
    <n v="0.22222222222222221"/>
  </r>
  <r>
    <x v="750"/>
    <x v="280"/>
    <x v="32"/>
    <x v="37"/>
    <s v="P108"/>
    <x v="4"/>
    <x v="1"/>
    <x v="0"/>
    <x v="1"/>
    <n v="9"/>
    <n v="3200"/>
    <n v="15"/>
    <n v="24480"/>
    <n v="20160"/>
    <n v="4320"/>
    <x v="2"/>
    <s v="Delivered"/>
    <x v="6"/>
    <s v="Q2"/>
    <n v="2025"/>
    <n v="0.17647058823529413"/>
  </r>
  <r>
    <x v="751"/>
    <x v="314"/>
    <x v="12"/>
    <x v="8"/>
    <s v="P101"/>
    <x v="2"/>
    <x v="0"/>
    <x v="0"/>
    <x v="0"/>
    <n v="5"/>
    <n v="55000"/>
    <n v="10"/>
    <n v="247500"/>
    <n v="192500"/>
    <n v="55000"/>
    <x v="1"/>
    <s v="Returned"/>
    <x v="10"/>
    <s v="Q2"/>
    <n v="2025"/>
    <n v="0.22222222222222221"/>
  </r>
  <r>
    <x v="752"/>
    <x v="298"/>
    <x v="53"/>
    <x v="45"/>
    <s v="P106"/>
    <x v="3"/>
    <x v="0"/>
    <x v="1"/>
    <x v="2"/>
    <n v="9"/>
    <n v="9500"/>
    <n v="10"/>
    <n v="76950"/>
    <n v="59849.999999999993"/>
    <n v="17100.000000000011"/>
    <x v="3"/>
    <s v="Pending"/>
    <x v="8"/>
    <s v="Q3"/>
    <n v="2025"/>
    <n v="0.22222222222222238"/>
  </r>
  <r>
    <x v="753"/>
    <x v="315"/>
    <x v="64"/>
    <x v="22"/>
    <s v="P101"/>
    <x v="2"/>
    <x v="0"/>
    <x v="1"/>
    <x v="2"/>
    <n v="4"/>
    <n v="55000"/>
    <n v="10"/>
    <n v="198000"/>
    <n v="154000"/>
    <n v="44000"/>
    <x v="0"/>
    <s v="Delivered"/>
    <x v="4"/>
    <s v="Q4"/>
    <n v="2025"/>
    <n v="0.22222222222222221"/>
  </r>
  <r>
    <x v="754"/>
    <x v="81"/>
    <x v="40"/>
    <x v="67"/>
    <s v="P105"/>
    <x v="5"/>
    <x v="2"/>
    <x v="3"/>
    <x v="1"/>
    <n v="6"/>
    <n v="8500"/>
    <n v="10"/>
    <n v="45900"/>
    <n v="35700"/>
    <n v="10200"/>
    <x v="0"/>
    <s v="Returned"/>
    <x v="8"/>
    <s v="Q3"/>
    <n v="2025"/>
    <n v="0.22222222222222221"/>
  </r>
  <r>
    <x v="755"/>
    <x v="202"/>
    <x v="75"/>
    <x v="13"/>
    <s v="P108"/>
    <x v="4"/>
    <x v="1"/>
    <x v="0"/>
    <x v="4"/>
    <n v="5"/>
    <n v="3200"/>
    <n v="10"/>
    <n v="14400"/>
    <n v="11200"/>
    <n v="3200"/>
    <x v="0"/>
    <s v="Pending"/>
    <x v="9"/>
    <s v="Q1"/>
    <n v="2025"/>
    <n v="0.22222222222222221"/>
  </r>
  <r>
    <x v="756"/>
    <x v="316"/>
    <x v="59"/>
    <x v="2"/>
    <s v="P103"/>
    <x v="6"/>
    <x v="0"/>
    <x v="1"/>
    <x v="0"/>
    <n v="9"/>
    <n v="1500"/>
    <n v="10"/>
    <n v="12150"/>
    <n v="9450"/>
    <n v="2700"/>
    <x v="3"/>
    <s v="Delivered"/>
    <x v="4"/>
    <s v="Q4"/>
    <n v="2025"/>
    <n v="0.22222222222222221"/>
  </r>
  <r>
    <x v="757"/>
    <x v="194"/>
    <x v="41"/>
    <x v="84"/>
    <s v="P101"/>
    <x v="2"/>
    <x v="0"/>
    <x v="1"/>
    <x v="5"/>
    <n v="7"/>
    <n v="55000"/>
    <n v="20"/>
    <n v="308000"/>
    <n v="269500"/>
    <n v="38500"/>
    <x v="1"/>
    <s v="Pending"/>
    <x v="3"/>
    <s v="Q1"/>
    <n v="2025"/>
    <n v="0.125"/>
  </r>
  <r>
    <x v="758"/>
    <x v="168"/>
    <x v="84"/>
    <x v="50"/>
    <s v="P105"/>
    <x v="5"/>
    <x v="2"/>
    <x v="2"/>
    <x v="3"/>
    <n v="5"/>
    <n v="8500"/>
    <n v="20"/>
    <n v="34000"/>
    <n v="29750"/>
    <n v="4250.0000000000036"/>
    <x v="2"/>
    <s v="Returned"/>
    <x v="3"/>
    <s v="Q1"/>
    <n v="2025"/>
    <n v="0.12500000000000011"/>
  </r>
  <r>
    <x v="759"/>
    <x v="129"/>
    <x v="1"/>
    <x v="17"/>
    <s v="P108"/>
    <x v="4"/>
    <x v="1"/>
    <x v="0"/>
    <x v="2"/>
    <n v="10"/>
    <n v="3200"/>
    <n v="15"/>
    <n v="27200"/>
    <n v="22400"/>
    <n v="4800"/>
    <x v="3"/>
    <s v="Returned"/>
    <x v="7"/>
    <s v="Q1"/>
    <n v="2025"/>
    <n v="0.17647058823529413"/>
  </r>
  <r>
    <x v="760"/>
    <x v="286"/>
    <x v="80"/>
    <x v="12"/>
    <s v="P102"/>
    <x v="1"/>
    <x v="0"/>
    <x v="0"/>
    <x v="2"/>
    <n v="6"/>
    <n v="800"/>
    <n v="20"/>
    <n v="3840"/>
    <n v="3360"/>
    <n v="480"/>
    <x v="1"/>
    <s v="Delivered"/>
    <x v="9"/>
    <s v="Q1"/>
    <n v="2025"/>
    <n v="0.125"/>
  </r>
  <r>
    <x v="761"/>
    <x v="197"/>
    <x v="82"/>
    <x v="23"/>
    <s v="P101"/>
    <x v="2"/>
    <x v="0"/>
    <x v="1"/>
    <x v="5"/>
    <n v="9"/>
    <n v="55000"/>
    <n v="5"/>
    <n v="470250"/>
    <n v="346500"/>
    <n v="123750"/>
    <x v="1"/>
    <s v="Delivered"/>
    <x v="10"/>
    <s v="Q2"/>
    <n v="2025"/>
    <n v="0.26315789473684209"/>
  </r>
  <r>
    <x v="762"/>
    <x v="285"/>
    <x v="26"/>
    <x v="5"/>
    <s v="P108"/>
    <x v="4"/>
    <x v="1"/>
    <x v="2"/>
    <x v="3"/>
    <n v="7"/>
    <n v="3200"/>
    <n v="0"/>
    <n v="22400"/>
    <n v="15680"/>
    <n v="6720.0000000000018"/>
    <x v="3"/>
    <s v="Pending"/>
    <x v="5"/>
    <s v="Q3"/>
    <n v="2025"/>
    <n v="0.3000000000000001"/>
  </r>
  <r>
    <x v="763"/>
    <x v="317"/>
    <x v="72"/>
    <x v="37"/>
    <s v="P105"/>
    <x v="5"/>
    <x v="2"/>
    <x v="1"/>
    <x v="2"/>
    <n v="8"/>
    <n v="8500"/>
    <n v="5"/>
    <n v="64600"/>
    <n v="47600"/>
    <n v="17000"/>
    <x v="3"/>
    <s v="Delivered"/>
    <x v="2"/>
    <s v="Q2"/>
    <n v="2025"/>
    <n v="0.26315789473684209"/>
  </r>
  <r>
    <x v="764"/>
    <x v="115"/>
    <x v="47"/>
    <x v="40"/>
    <s v="P108"/>
    <x v="4"/>
    <x v="1"/>
    <x v="2"/>
    <x v="0"/>
    <n v="9"/>
    <n v="3200"/>
    <n v="20"/>
    <n v="23040"/>
    <n v="20160"/>
    <n v="2880"/>
    <x v="3"/>
    <s v="Returned"/>
    <x v="8"/>
    <s v="Q3"/>
    <n v="2025"/>
    <n v="0.125"/>
  </r>
  <r>
    <x v="765"/>
    <x v="63"/>
    <x v="91"/>
    <x v="80"/>
    <s v="P101"/>
    <x v="2"/>
    <x v="0"/>
    <x v="3"/>
    <x v="0"/>
    <n v="8"/>
    <n v="55000"/>
    <n v="0"/>
    <n v="440000"/>
    <n v="308000"/>
    <n v="132000"/>
    <x v="0"/>
    <s v="Pending"/>
    <x v="6"/>
    <s v="Q2"/>
    <n v="2025"/>
    <n v="0.3"/>
  </r>
  <r>
    <x v="766"/>
    <x v="296"/>
    <x v="34"/>
    <x v="57"/>
    <s v="P105"/>
    <x v="5"/>
    <x v="2"/>
    <x v="1"/>
    <x v="0"/>
    <n v="3"/>
    <n v="8500"/>
    <n v="5"/>
    <n v="24225"/>
    <n v="17850"/>
    <n v="6375"/>
    <x v="0"/>
    <s v="Returned"/>
    <x v="11"/>
    <s v="Q3"/>
    <n v="2025"/>
    <n v="0.26315789473684209"/>
  </r>
  <r>
    <x v="767"/>
    <x v="209"/>
    <x v="10"/>
    <x v="41"/>
    <s v="P107"/>
    <x v="0"/>
    <x v="0"/>
    <x v="2"/>
    <x v="4"/>
    <n v="8"/>
    <n v="3500"/>
    <n v="15"/>
    <n v="23800"/>
    <n v="19600"/>
    <n v="4200"/>
    <x v="2"/>
    <s v="Delivered"/>
    <x v="6"/>
    <s v="Q2"/>
    <n v="2025"/>
    <n v="0.17647058823529413"/>
  </r>
  <r>
    <x v="768"/>
    <x v="240"/>
    <x v="97"/>
    <x v="89"/>
    <s v="P102"/>
    <x v="1"/>
    <x v="0"/>
    <x v="1"/>
    <x v="5"/>
    <n v="2"/>
    <n v="800"/>
    <n v="5"/>
    <n v="1520"/>
    <n v="1120"/>
    <n v="400"/>
    <x v="0"/>
    <s v="Delivered"/>
    <x v="9"/>
    <s v="Q1"/>
    <n v="2025"/>
    <n v="0.26315789473684209"/>
  </r>
  <r>
    <x v="769"/>
    <x v="318"/>
    <x v="24"/>
    <x v="72"/>
    <s v="P105"/>
    <x v="5"/>
    <x v="2"/>
    <x v="3"/>
    <x v="3"/>
    <n v="5"/>
    <n v="8500"/>
    <n v="0"/>
    <n v="42500"/>
    <n v="29750"/>
    <n v="12750"/>
    <x v="1"/>
    <s v="Delivered"/>
    <x v="8"/>
    <s v="Q3"/>
    <n v="2025"/>
    <n v="0.3"/>
  </r>
  <r>
    <x v="770"/>
    <x v="319"/>
    <x v="18"/>
    <x v="45"/>
    <s v="P105"/>
    <x v="5"/>
    <x v="2"/>
    <x v="3"/>
    <x v="4"/>
    <n v="2"/>
    <n v="8500"/>
    <n v="15"/>
    <n v="14450"/>
    <n v="11900"/>
    <n v="2550"/>
    <x v="0"/>
    <s v="Delivered"/>
    <x v="9"/>
    <s v="Q1"/>
    <n v="2025"/>
    <n v="0.17647058823529413"/>
  </r>
  <r>
    <x v="771"/>
    <x v="82"/>
    <x v="51"/>
    <x v="98"/>
    <s v="P104"/>
    <x v="7"/>
    <x v="2"/>
    <x v="3"/>
    <x v="1"/>
    <n v="7"/>
    <n v="4500"/>
    <n v="10"/>
    <n v="28350"/>
    <n v="22050"/>
    <n v="6300"/>
    <x v="3"/>
    <s v="Pending"/>
    <x v="1"/>
    <s v="Q4"/>
    <n v="2025"/>
    <n v="0.22222222222222221"/>
  </r>
  <r>
    <x v="772"/>
    <x v="164"/>
    <x v="20"/>
    <x v="0"/>
    <s v="P108"/>
    <x v="4"/>
    <x v="1"/>
    <x v="3"/>
    <x v="5"/>
    <n v="10"/>
    <n v="3200"/>
    <n v="10"/>
    <n v="28800"/>
    <n v="22400"/>
    <n v="6400"/>
    <x v="1"/>
    <s v="Returned"/>
    <x v="11"/>
    <s v="Q3"/>
    <n v="2025"/>
    <n v="0.22222222222222221"/>
  </r>
  <r>
    <x v="773"/>
    <x v="15"/>
    <x v="84"/>
    <x v="37"/>
    <s v="P105"/>
    <x v="5"/>
    <x v="2"/>
    <x v="3"/>
    <x v="4"/>
    <n v="5"/>
    <n v="8500"/>
    <n v="20"/>
    <n v="34000"/>
    <n v="29750"/>
    <n v="4250.0000000000036"/>
    <x v="0"/>
    <s v="Delivered"/>
    <x v="8"/>
    <s v="Q3"/>
    <n v="2025"/>
    <n v="0.12500000000000011"/>
  </r>
  <r>
    <x v="774"/>
    <x v="9"/>
    <x v="88"/>
    <x v="18"/>
    <s v="P108"/>
    <x v="4"/>
    <x v="1"/>
    <x v="2"/>
    <x v="2"/>
    <n v="9"/>
    <n v="3200"/>
    <n v="5"/>
    <n v="27360"/>
    <n v="20160"/>
    <n v="7200"/>
    <x v="3"/>
    <s v="Delivered"/>
    <x v="0"/>
    <s v="Q4"/>
    <n v="2025"/>
    <n v="0.26315789473684209"/>
  </r>
  <r>
    <x v="775"/>
    <x v="274"/>
    <x v="68"/>
    <x v="32"/>
    <s v="P103"/>
    <x v="6"/>
    <x v="0"/>
    <x v="1"/>
    <x v="1"/>
    <n v="4"/>
    <n v="1500"/>
    <n v="10"/>
    <n v="5400"/>
    <n v="4200"/>
    <n v="1200"/>
    <x v="3"/>
    <s v="Returned"/>
    <x v="2"/>
    <s v="Q2"/>
    <n v="2025"/>
    <n v="0.22222222222222221"/>
  </r>
  <r>
    <x v="776"/>
    <x v="320"/>
    <x v="32"/>
    <x v="54"/>
    <s v="P103"/>
    <x v="6"/>
    <x v="0"/>
    <x v="1"/>
    <x v="5"/>
    <n v="1"/>
    <n v="1500"/>
    <n v="10"/>
    <n v="1350"/>
    <n v="1050"/>
    <n v="300"/>
    <x v="0"/>
    <s v="Pending"/>
    <x v="11"/>
    <s v="Q3"/>
    <n v="2025"/>
    <n v="0.22222222222222221"/>
  </r>
  <r>
    <x v="777"/>
    <x v="24"/>
    <x v="43"/>
    <x v="70"/>
    <s v="P105"/>
    <x v="5"/>
    <x v="2"/>
    <x v="0"/>
    <x v="4"/>
    <n v="7"/>
    <n v="8500"/>
    <n v="10"/>
    <n v="53550"/>
    <n v="41650"/>
    <n v="11900"/>
    <x v="0"/>
    <s v="Returned"/>
    <x v="2"/>
    <s v="Q2"/>
    <n v="2025"/>
    <n v="0.22222222222222221"/>
  </r>
  <r>
    <x v="778"/>
    <x v="148"/>
    <x v="74"/>
    <x v="58"/>
    <s v="P101"/>
    <x v="2"/>
    <x v="0"/>
    <x v="3"/>
    <x v="5"/>
    <n v="9"/>
    <n v="55000"/>
    <n v="0"/>
    <n v="495000"/>
    <n v="346500"/>
    <n v="148500"/>
    <x v="0"/>
    <s v="Pending"/>
    <x v="4"/>
    <s v="Q4"/>
    <n v="2025"/>
    <n v="0.3"/>
  </r>
  <r>
    <x v="779"/>
    <x v="76"/>
    <x v="32"/>
    <x v="95"/>
    <s v="P104"/>
    <x v="7"/>
    <x v="2"/>
    <x v="2"/>
    <x v="0"/>
    <n v="5"/>
    <n v="4500"/>
    <n v="15"/>
    <n v="19125"/>
    <n v="15750"/>
    <n v="3375.0000000000018"/>
    <x v="0"/>
    <s v="Delivered"/>
    <x v="2"/>
    <s v="Q2"/>
    <n v="2025"/>
    <n v="0.17647058823529421"/>
  </r>
  <r>
    <x v="780"/>
    <x v="5"/>
    <x v="33"/>
    <x v="1"/>
    <s v="P102"/>
    <x v="1"/>
    <x v="0"/>
    <x v="2"/>
    <x v="5"/>
    <n v="6"/>
    <n v="800"/>
    <n v="10"/>
    <n v="4320"/>
    <n v="3360"/>
    <n v="960"/>
    <x v="0"/>
    <s v="Returned"/>
    <x v="4"/>
    <s v="Q4"/>
    <n v="2025"/>
    <n v="0.22222222222222221"/>
  </r>
  <r>
    <x v="781"/>
    <x v="99"/>
    <x v="63"/>
    <x v="9"/>
    <s v="P101"/>
    <x v="2"/>
    <x v="0"/>
    <x v="1"/>
    <x v="2"/>
    <n v="4"/>
    <n v="55000"/>
    <n v="0"/>
    <n v="220000"/>
    <n v="154000"/>
    <n v="66000"/>
    <x v="0"/>
    <s v="Pending"/>
    <x v="2"/>
    <s v="Q2"/>
    <n v="2025"/>
    <n v="0.3"/>
  </r>
  <r>
    <x v="782"/>
    <x v="11"/>
    <x v="96"/>
    <x v="61"/>
    <s v="P105"/>
    <x v="5"/>
    <x v="2"/>
    <x v="0"/>
    <x v="1"/>
    <n v="3"/>
    <n v="8500"/>
    <n v="20"/>
    <n v="20400"/>
    <n v="17850"/>
    <n v="2550"/>
    <x v="3"/>
    <s v="Returned"/>
    <x v="3"/>
    <s v="Q1"/>
    <n v="2025"/>
    <n v="0.125"/>
  </r>
  <r>
    <x v="783"/>
    <x v="293"/>
    <x v="8"/>
    <x v="82"/>
    <s v="P104"/>
    <x v="7"/>
    <x v="2"/>
    <x v="0"/>
    <x v="0"/>
    <n v="6"/>
    <n v="4500"/>
    <n v="15"/>
    <n v="22950"/>
    <n v="18900"/>
    <n v="4050"/>
    <x v="3"/>
    <s v="Returned"/>
    <x v="9"/>
    <s v="Q1"/>
    <n v="2025"/>
    <n v="0.17647058823529413"/>
  </r>
  <r>
    <x v="784"/>
    <x v="273"/>
    <x v="3"/>
    <x v="46"/>
    <s v="P103"/>
    <x v="6"/>
    <x v="0"/>
    <x v="0"/>
    <x v="2"/>
    <n v="9"/>
    <n v="1500"/>
    <n v="10"/>
    <n v="12150"/>
    <n v="9450"/>
    <n v="2700"/>
    <x v="2"/>
    <s v="Returned"/>
    <x v="7"/>
    <s v="Q1"/>
    <n v="2025"/>
    <n v="0.22222222222222221"/>
  </r>
  <r>
    <x v="785"/>
    <x v="12"/>
    <x v="31"/>
    <x v="75"/>
    <s v="P103"/>
    <x v="6"/>
    <x v="0"/>
    <x v="2"/>
    <x v="5"/>
    <n v="10"/>
    <n v="1500"/>
    <n v="20"/>
    <n v="12000"/>
    <n v="10500"/>
    <n v="1500"/>
    <x v="2"/>
    <s v="Returned"/>
    <x v="1"/>
    <s v="Q4"/>
    <n v="2025"/>
    <n v="0.125"/>
  </r>
  <r>
    <x v="786"/>
    <x v="221"/>
    <x v="28"/>
    <x v="80"/>
    <s v="P107"/>
    <x v="0"/>
    <x v="0"/>
    <x v="1"/>
    <x v="3"/>
    <n v="9"/>
    <n v="3500"/>
    <n v="5"/>
    <n v="29925"/>
    <n v="22050"/>
    <n v="7875"/>
    <x v="1"/>
    <s v="Returned"/>
    <x v="8"/>
    <s v="Q3"/>
    <n v="2025"/>
    <n v="0.26315789473684209"/>
  </r>
  <r>
    <x v="787"/>
    <x v="71"/>
    <x v="3"/>
    <x v="38"/>
    <s v="P106"/>
    <x v="3"/>
    <x v="0"/>
    <x v="3"/>
    <x v="4"/>
    <n v="4"/>
    <n v="9500"/>
    <n v="5"/>
    <n v="36100"/>
    <n v="26600"/>
    <n v="9500"/>
    <x v="3"/>
    <s v="Returned"/>
    <x v="8"/>
    <s v="Q3"/>
    <n v="2025"/>
    <n v="0.26315789473684209"/>
  </r>
  <r>
    <x v="788"/>
    <x v="90"/>
    <x v="90"/>
    <x v="55"/>
    <s v="P108"/>
    <x v="4"/>
    <x v="1"/>
    <x v="2"/>
    <x v="0"/>
    <n v="7"/>
    <n v="3200"/>
    <n v="5"/>
    <n v="21280"/>
    <n v="15680"/>
    <n v="5600.0000000000018"/>
    <x v="1"/>
    <s v="Returned"/>
    <x v="6"/>
    <s v="Q2"/>
    <n v="2025"/>
    <n v="0.2631578947368422"/>
  </r>
  <r>
    <x v="789"/>
    <x v="236"/>
    <x v="18"/>
    <x v="49"/>
    <s v="P102"/>
    <x v="1"/>
    <x v="0"/>
    <x v="0"/>
    <x v="4"/>
    <n v="2"/>
    <n v="800"/>
    <n v="0"/>
    <n v="1600"/>
    <n v="1120"/>
    <n v="480"/>
    <x v="3"/>
    <s v="Pending"/>
    <x v="11"/>
    <s v="Q3"/>
    <n v="2025"/>
    <n v="0.3"/>
  </r>
  <r>
    <x v="790"/>
    <x v="111"/>
    <x v="2"/>
    <x v="87"/>
    <s v="P104"/>
    <x v="7"/>
    <x v="2"/>
    <x v="3"/>
    <x v="0"/>
    <n v="2"/>
    <n v="4500"/>
    <n v="20"/>
    <n v="7200"/>
    <n v="6300"/>
    <n v="900"/>
    <x v="0"/>
    <s v="Returned"/>
    <x v="8"/>
    <s v="Q3"/>
    <n v="2025"/>
    <n v="0.125"/>
  </r>
  <r>
    <x v="791"/>
    <x v="234"/>
    <x v="65"/>
    <x v="20"/>
    <s v="P101"/>
    <x v="2"/>
    <x v="0"/>
    <x v="3"/>
    <x v="1"/>
    <n v="2"/>
    <n v="55000"/>
    <n v="10"/>
    <n v="99000"/>
    <n v="77000"/>
    <n v="22000"/>
    <x v="0"/>
    <s v="Delivered"/>
    <x v="6"/>
    <s v="Q2"/>
    <n v="2025"/>
    <n v="0.22222222222222221"/>
  </r>
  <r>
    <x v="792"/>
    <x v="77"/>
    <x v="24"/>
    <x v="73"/>
    <s v="P107"/>
    <x v="0"/>
    <x v="0"/>
    <x v="2"/>
    <x v="5"/>
    <n v="2"/>
    <n v="3500"/>
    <n v="5"/>
    <n v="6650"/>
    <n v="4900"/>
    <n v="1750"/>
    <x v="0"/>
    <s v="Pending"/>
    <x v="10"/>
    <s v="Q2"/>
    <n v="2025"/>
    <n v="0.26315789473684209"/>
  </r>
  <r>
    <x v="793"/>
    <x v="231"/>
    <x v="37"/>
    <x v="55"/>
    <s v="P105"/>
    <x v="5"/>
    <x v="2"/>
    <x v="0"/>
    <x v="4"/>
    <n v="2"/>
    <n v="8500"/>
    <n v="5"/>
    <n v="16150"/>
    <n v="11900"/>
    <n v="4250"/>
    <x v="1"/>
    <s v="Returned"/>
    <x v="2"/>
    <s v="Q2"/>
    <n v="2025"/>
    <n v="0.26315789473684209"/>
  </r>
  <r>
    <x v="794"/>
    <x v="45"/>
    <x v="84"/>
    <x v="10"/>
    <s v="P107"/>
    <x v="0"/>
    <x v="0"/>
    <x v="2"/>
    <x v="2"/>
    <n v="5"/>
    <n v="3500"/>
    <n v="5"/>
    <n v="16625"/>
    <n v="12250"/>
    <n v="4375"/>
    <x v="1"/>
    <s v="Pending"/>
    <x v="10"/>
    <s v="Q2"/>
    <n v="2025"/>
    <n v="0.26315789473684209"/>
  </r>
  <r>
    <x v="795"/>
    <x v="215"/>
    <x v="51"/>
    <x v="38"/>
    <s v="P103"/>
    <x v="6"/>
    <x v="0"/>
    <x v="1"/>
    <x v="1"/>
    <n v="8"/>
    <n v="1500"/>
    <n v="20"/>
    <n v="9600"/>
    <n v="8400"/>
    <n v="1200"/>
    <x v="3"/>
    <s v="Pending"/>
    <x v="4"/>
    <s v="Q4"/>
    <n v="2025"/>
    <n v="0.125"/>
  </r>
  <r>
    <x v="796"/>
    <x v="321"/>
    <x v="16"/>
    <x v="5"/>
    <s v="P103"/>
    <x v="6"/>
    <x v="0"/>
    <x v="3"/>
    <x v="3"/>
    <n v="1"/>
    <n v="1500"/>
    <n v="10"/>
    <n v="1350"/>
    <n v="1050"/>
    <n v="300"/>
    <x v="1"/>
    <s v="Returned"/>
    <x v="1"/>
    <s v="Q4"/>
    <n v="2025"/>
    <n v="0.22222222222222221"/>
  </r>
  <r>
    <x v="797"/>
    <x v="19"/>
    <x v="89"/>
    <x v="51"/>
    <s v="P106"/>
    <x v="3"/>
    <x v="0"/>
    <x v="3"/>
    <x v="2"/>
    <n v="9"/>
    <n v="9500"/>
    <n v="15"/>
    <n v="72675"/>
    <n v="59849.999999999993"/>
    <n v="12825.000000000009"/>
    <x v="1"/>
    <s v="Returned"/>
    <x v="9"/>
    <s v="Q1"/>
    <n v="2025"/>
    <n v="0.17647058823529424"/>
  </r>
  <r>
    <x v="798"/>
    <x v="19"/>
    <x v="10"/>
    <x v="82"/>
    <s v="P104"/>
    <x v="7"/>
    <x v="2"/>
    <x v="1"/>
    <x v="4"/>
    <n v="2"/>
    <n v="4500"/>
    <n v="15"/>
    <n v="7650"/>
    <n v="6300"/>
    <n v="1350"/>
    <x v="0"/>
    <s v="Pending"/>
    <x v="9"/>
    <s v="Q1"/>
    <n v="2025"/>
    <n v="0.17647058823529413"/>
  </r>
  <r>
    <x v="799"/>
    <x v="322"/>
    <x v="34"/>
    <x v="43"/>
    <s v="P106"/>
    <x v="3"/>
    <x v="0"/>
    <x v="0"/>
    <x v="5"/>
    <n v="1"/>
    <n v="9500"/>
    <n v="5"/>
    <n v="9025"/>
    <n v="6650"/>
    <n v="2375"/>
    <x v="1"/>
    <s v="Returned"/>
    <x v="10"/>
    <s v="Q2"/>
    <n v="2025"/>
    <n v="0.26315789473684209"/>
  </r>
  <r>
    <x v="800"/>
    <x v="145"/>
    <x v="65"/>
    <x v="42"/>
    <s v="P101"/>
    <x v="2"/>
    <x v="0"/>
    <x v="2"/>
    <x v="3"/>
    <n v="5"/>
    <n v="55000"/>
    <n v="15"/>
    <n v="233750"/>
    <n v="192500"/>
    <n v="41250"/>
    <x v="3"/>
    <s v="Returned"/>
    <x v="11"/>
    <s v="Q3"/>
    <n v="2025"/>
    <n v="0.17647058823529413"/>
  </r>
  <r>
    <x v="801"/>
    <x v="323"/>
    <x v="76"/>
    <x v="56"/>
    <s v="P108"/>
    <x v="4"/>
    <x v="1"/>
    <x v="3"/>
    <x v="4"/>
    <n v="9"/>
    <n v="3200"/>
    <n v="0"/>
    <n v="28800"/>
    <n v="20160"/>
    <n v="8640"/>
    <x v="3"/>
    <s v="Pending"/>
    <x v="8"/>
    <s v="Q3"/>
    <n v="2025"/>
    <n v="0.3"/>
  </r>
  <r>
    <x v="802"/>
    <x v="201"/>
    <x v="64"/>
    <x v="6"/>
    <s v="P107"/>
    <x v="0"/>
    <x v="0"/>
    <x v="2"/>
    <x v="1"/>
    <n v="9"/>
    <n v="3500"/>
    <n v="20"/>
    <n v="25200"/>
    <n v="22050"/>
    <n v="3150"/>
    <x v="0"/>
    <s v="Pending"/>
    <x v="3"/>
    <s v="Q1"/>
    <n v="2025"/>
    <n v="0.125"/>
  </r>
  <r>
    <x v="803"/>
    <x v="324"/>
    <x v="30"/>
    <x v="66"/>
    <s v="P103"/>
    <x v="6"/>
    <x v="0"/>
    <x v="1"/>
    <x v="1"/>
    <n v="10"/>
    <n v="1500"/>
    <n v="0"/>
    <n v="15000"/>
    <n v="10500"/>
    <n v="4500"/>
    <x v="2"/>
    <s v="Delivered"/>
    <x v="5"/>
    <s v="Q3"/>
    <n v="2025"/>
    <n v="0.3"/>
  </r>
  <r>
    <x v="804"/>
    <x v="8"/>
    <x v="19"/>
    <x v="24"/>
    <s v="P108"/>
    <x v="4"/>
    <x v="1"/>
    <x v="2"/>
    <x v="0"/>
    <n v="10"/>
    <n v="3200"/>
    <n v="5"/>
    <n v="30400"/>
    <n v="22400"/>
    <n v="8000"/>
    <x v="3"/>
    <s v="Returned"/>
    <x v="3"/>
    <s v="Q1"/>
    <n v="2025"/>
    <n v="0.26315789473684209"/>
  </r>
  <r>
    <x v="805"/>
    <x v="280"/>
    <x v="66"/>
    <x v="75"/>
    <s v="P108"/>
    <x v="4"/>
    <x v="1"/>
    <x v="3"/>
    <x v="0"/>
    <n v="1"/>
    <n v="3200"/>
    <n v="10"/>
    <n v="2880"/>
    <n v="2240"/>
    <n v="640"/>
    <x v="0"/>
    <s v="Delivered"/>
    <x v="6"/>
    <s v="Q2"/>
    <n v="2025"/>
    <n v="0.22222222222222221"/>
  </r>
  <r>
    <x v="806"/>
    <x v="78"/>
    <x v="73"/>
    <x v="68"/>
    <s v="P108"/>
    <x v="4"/>
    <x v="1"/>
    <x v="0"/>
    <x v="3"/>
    <n v="4"/>
    <n v="3200"/>
    <n v="0"/>
    <n v="12800"/>
    <n v="8960"/>
    <n v="3840"/>
    <x v="0"/>
    <s v="Returned"/>
    <x v="8"/>
    <s v="Q3"/>
    <n v="2025"/>
    <n v="0.3"/>
  </r>
  <r>
    <x v="807"/>
    <x v="188"/>
    <x v="71"/>
    <x v="5"/>
    <s v="P103"/>
    <x v="6"/>
    <x v="0"/>
    <x v="3"/>
    <x v="2"/>
    <n v="1"/>
    <n v="1500"/>
    <n v="10"/>
    <n v="1350"/>
    <n v="1050"/>
    <n v="300"/>
    <x v="3"/>
    <s v="Pending"/>
    <x v="9"/>
    <s v="Q1"/>
    <n v="2025"/>
    <n v="0.22222222222222221"/>
  </r>
  <r>
    <x v="808"/>
    <x v="45"/>
    <x v="9"/>
    <x v="80"/>
    <s v="P101"/>
    <x v="2"/>
    <x v="0"/>
    <x v="3"/>
    <x v="1"/>
    <n v="6"/>
    <n v="55000"/>
    <n v="0"/>
    <n v="330000"/>
    <n v="231000"/>
    <n v="99000.000000000029"/>
    <x v="3"/>
    <s v="Pending"/>
    <x v="10"/>
    <s v="Q2"/>
    <n v="2025"/>
    <n v="0.3000000000000001"/>
  </r>
  <r>
    <x v="809"/>
    <x v="36"/>
    <x v="6"/>
    <x v="82"/>
    <s v="P105"/>
    <x v="5"/>
    <x v="2"/>
    <x v="2"/>
    <x v="4"/>
    <n v="9"/>
    <n v="8500"/>
    <n v="20"/>
    <n v="61200"/>
    <n v="53550"/>
    <n v="7650"/>
    <x v="1"/>
    <s v="Delivered"/>
    <x v="9"/>
    <s v="Q1"/>
    <n v="2025"/>
    <n v="0.125"/>
  </r>
  <r>
    <x v="810"/>
    <x v="139"/>
    <x v="57"/>
    <x v="59"/>
    <s v="P108"/>
    <x v="4"/>
    <x v="1"/>
    <x v="2"/>
    <x v="1"/>
    <n v="8"/>
    <n v="3200"/>
    <n v="20"/>
    <n v="20480"/>
    <n v="17920"/>
    <n v="2560"/>
    <x v="0"/>
    <s v="Pending"/>
    <x v="3"/>
    <s v="Q1"/>
    <n v="2025"/>
    <n v="0.125"/>
  </r>
  <r>
    <x v="811"/>
    <x v="94"/>
    <x v="23"/>
    <x v="48"/>
    <s v="P107"/>
    <x v="0"/>
    <x v="0"/>
    <x v="3"/>
    <x v="5"/>
    <n v="3"/>
    <n v="3500"/>
    <n v="5"/>
    <n v="9975"/>
    <n v="7349.9999999999991"/>
    <n v="2625.0000000000009"/>
    <x v="1"/>
    <s v="Returned"/>
    <x v="10"/>
    <s v="Q2"/>
    <n v="2025"/>
    <n v="0.2631578947368422"/>
  </r>
  <r>
    <x v="812"/>
    <x v="210"/>
    <x v="73"/>
    <x v="88"/>
    <s v="P105"/>
    <x v="5"/>
    <x v="2"/>
    <x v="3"/>
    <x v="5"/>
    <n v="7"/>
    <n v="8500"/>
    <n v="15"/>
    <n v="50575"/>
    <n v="41650"/>
    <n v="8925"/>
    <x v="0"/>
    <s v="Pending"/>
    <x v="3"/>
    <s v="Q1"/>
    <n v="2025"/>
    <n v="0.17647058823529413"/>
  </r>
  <r>
    <x v="813"/>
    <x v="219"/>
    <x v="55"/>
    <x v="26"/>
    <s v="P108"/>
    <x v="4"/>
    <x v="1"/>
    <x v="2"/>
    <x v="1"/>
    <n v="6"/>
    <n v="3200"/>
    <n v="15"/>
    <n v="16320"/>
    <n v="13440"/>
    <n v="2880"/>
    <x v="0"/>
    <s v="Delivered"/>
    <x v="0"/>
    <s v="Q4"/>
    <n v="2025"/>
    <n v="0.17647058823529413"/>
  </r>
  <r>
    <x v="814"/>
    <x v="34"/>
    <x v="78"/>
    <x v="29"/>
    <s v="P103"/>
    <x v="6"/>
    <x v="0"/>
    <x v="3"/>
    <x v="2"/>
    <n v="10"/>
    <n v="1500"/>
    <n v="20"/>
    <n v="12000"/>
    <n v="10500"/>
    <n v="1500"/>
    <x v="3"/>
    <s v="Pending"/>
    <x v="2"/>
    <s v="Q2"/>
    <n v="2025"/>
    <n v="0.125"/>
  </r>
  <r>
    <x v="815"/>
    <x v="291"/>
    <x v="53"/>
    <x v="34"/>
    <s v="P105"/>
    <x v="5"/>
    <x v="2"/>
    <x v="0"/>
    <x v="4"/>
    <n v="4"/>
    <n v="8500"/>
    <n v="0"/>
    <n v="34000"/>
    <n v="23800"/>
    <n v="10200"/>
    <x v="0"/>
    <s v="Pending"/>
    <x v="7"/>
    <s v="Q1"/>
    <n v="2025"/>
    <n v="0.3"/>
  </r>
  <r>
    <x v="816"/>
    <x v="157"/>
    <x v="82"/>
    <x v="44"/>
    <s v="P107"/>
    <x v="0"/>
    <x v="0"/>
    <x v="2"/>
    <x v="2"/>
    <n v="8"/>
    <n v="3500"/>
    <n v="10"/>
    <n v="25200"/>
    <n v="19600"/>
    <n v="5600"/>
    <x v="2"/>
    <s v="Delivered"/>
    <x v="6"/>
    <s v="Q2"/>
    <n v="2025"/>
    <n v="0.22222222222222221"/>
  </r>
  <r>
    <x v="817"/>
    <x v="161"/>
    <x v="28"/>
    <x v="58"/>
    <s v="P107"/>
    <x v="0"/>
    <x v="0"/>
    <x v="0"/>
    <x v="5"/>
    <n v="8"/>
    <n v="3500"/>
    <n v="15"/>
    <n v="23800"/>
    <n v="19600"/>
    <n v="4200"/>
    <x v="1"/>
    <s v="Delivered"/>
    <x v="0"/>
    <s v="Q4"/>
    <n v="2025"/>
    <n v="0.17647058823529413"/>
  </r>
  <r>
    <x v="818"/>
    <x v="316"/>
    <x v="93"/>
    <x v="26"/>
    <s v="P106"/>
    <x v="3"/>
    <x v="0"/>
    <x v="0"/>
    <x v="0"/>
    <n v="10"/>
    <n v="9500"/>
    <n v="0"/>
    <n v="95000"/>
    <n v="66500"/>
    <n v="28500"/>
    <x v="3"/>
    <s v="Returned"/>
    <x v="4"/>
    <s v="Q4"/>
    <n v="2025"/>
    <n v="0.3"/>
  </r>
  <r>
    <x v="819"/>
    <x v="235"/>
    <x v="92"/>
    <x v="88"/>
    <s v="P102"/>
    <x v="1"/>
    <x v="0"/>
    <x v="1"/>
    <x v="1"/>
    <n v="4"/>
    <n v="800"/>
    <n v="10"/>
    <n v="2880"/>
    <n v="2240"/>
    <n v="640"/>
    <x v="1"/>
    <s v="Returned"/>
    <x v="4"/>
    <s v="Q4"/>
    <n v="2025"/>
    <n v="0.22222222222222221"/>
  </r>
  <r>
    <x v="820"/>
    <x v="325"/>
    <x v="43"/>
    <x v="67"/>
    <s v="P103"/>
    <x v="6"/>
    <x v="0"/>
    <x v="0"/>
    <x v="4"/>
    <n v="8"/>
    <n v="1500"/>
    <n v="0"/>
    <n v="12000"/>
    <n v="8400"/>
    <n v="3600"/>
    <x v="2"/>
    <s v="Delivered"/>
    <x v="8"/>
    <s v="Q3"/>
    <n v="2025"/>
    <n v="0.3"/>
  </r>
  <r>
    <x v="821"/>
    <x v="326"/>
    <x v="36"/>
    <x v="70"/>
    <s v="P105"/>
    <x v="5"/>
    <x v="2"/>
    <x v="2"/>
    <x v="1"/>
    <n v="8"/>
    <n v="8500"/>
    <n v="5"/>
    <n v="64600"/>
    <n v="47600"/>
    <n v="17000"/>
    <x v="3"/>
    <s v="Returned"/>
    <x v="10"/>
    <s v="Q2"/>
    <n v="2025"/>
    <n v="0.26315789473684209"/>
  </r>
  <r>
    <x v="822"/>
    <x v="3"/>
    <x v="64"/>
    <x v="94"/>
    <s v="P105"/>
    <x v="5"/>
    <x v="2"/>
    <x v="2"/>
    <x v="3"/>
    <n v="9"/>
    <n v="8500"/>
    <n v="10"/>
    <n v="68850"/>
    <n v="53550"/>
    <n v="15300"/>
    <x v="3"/>
    <s v="Pending"/>
    <x v="3"/>
    <s v="Q1"/>
    <n v="2025"/>
    <n v="0.22222222222222221"/>
  </r>
  <r>
    <x v="823"/>
    <x v="100"/>
    <x v="24"/>
    <x v="65"/>
    <s v="P107"/>
    <x v="0"/>
    <x v="0"/>
    <x v="3"/>
    <x v="4"/>
    <n v="9"/>
    <n v="3500"/>
    <n v="20"/>
    <n v="25200"/>
    <n v="22050"/>
    <n v="3150"/>
    <x v="2"/>
    <s v="Returned"/>
    <x v="3"/>
    <s v="Q1"/>
    <n v="2025"/>
    <n v="0.125"/>
  </r>
  <r>
    <x v="824"/>
    <x v="187"/>
    <x v="33"/>
    <x v="78"/>
    <s v="P105"/>
    <x v="5"/>
    <x v="2"/>
    <x v="0"/>
    <x v="2"/>
    <n v="5"/>
    <n v="8500"/>
    <n v="5"/>
    <n v="40375"/>
    <n v="29750"/>
    <n v="10625"/>
    <x v="0"/>
    <s v="Returned"/>
    <x v="3"/>
    <s v="Q1"/>
    <n v="2025"/>
    <n v="0.26315789473684209"/>
  </r>
  <r>
    <x v="825"/>
    <x v="104"/>
    <x v="20"/>
    <x v="96"/>
    <s v="P108"/>
    <x v="4"/>
    <x v="1"/>
    <x v="1"/>
    <x v="4"/>
    <n v="9"/>
    <n v="3200"/>
    <n v="5"/>
    <n v="27360"/>
    <n v="20160"/>
    <n v="7200"/>
    <x v="1"/>
    <s v="Returned"/>
    <x v="1"/>
    <s v="Q4"/>
    <n v="2025"/>
    <n v="0.26315789473684209"/>
  </r>
  <r>
    <x v="826"/>
    <x v="101"/>
    <x v="22"/>
    <x v="18"/>
    <s v="P102"/>
    <x v="1"/>
    <x v="0"/>
    <x v="0"/>
    <x v="2"/>
    <n v="6"/>
    <n v="800"/>
    <n v="0"/>
    <n v="4800"/>
    <n v="3360"/>
    <n v="1440"/>
    <x v="0"/>
    <s v="Delivered"/>
    <x v="0"/>
    <s v="Q4"/>
    <n v="2025"/>
    <n v="0.3"/>
  </r>
  <r>
    <x v="827"/>
    <x v="72"/>
    <x v="46"/>
    <x v="91"/>
    <s v="P105"/>
    <x v="5"/>
    <x v="2"/>
    <x v="1"/>
    <x v="5"/>
    <n v="8"/>
    <n v="8500"/>
    <n v="20"/>
    <n v="54400"/>
    <n v="47600"/>
    <n v="6800"/>
    <x v="1"/>
    <s v="Returned"/>
    <x v="10"/>
    <s v="Q2"/>
    <n v="2025"/>
    <n v="0.125"/>
  </r>
  <r>
    <x v="828"/>
    <x v="199"/>
    <x v="66"/>
    <x v="43"/>
    <s v="P108"/>
    <x v="4"/>
    <x v="1"/>
    <x v="0"/>
    <x v="2"/>
    <n v="1"/>
    <n v="3200"/>
    <n v="0"/>
    <n v="3200"/>
    <n v="2240"/>
    <n v="960"/>
    <x v="3"/>
    <s v="Pending"/>
    <x v="3"/>
    <s v="Q1"/>
    <n v="2025"/>
    <n v="0.3"/>
  </r>
  <r>
    <x v="829"/>
    <x v="17"/>
    <x v="73"/>
    <x v="94"/>
    <s v="P102"/>
    <x v="1"/>
    <x v="0"/>
    <x v="0"/>
    <x v="4"/>
    <n v="10"/>
    <n v="800"/>
    <n v="20"/>
    <n v="6400"/>
    <n v="5600"/>
    <n v="800"/>
    <x v="3"/>
    <s v="Pending"/>
    <x v="7"/>
    <s v="Q1"/>
    <n v="2025"/>
    <n v="0.125"/>
  </r>
  <r>
    <x v="830"/>
    <x v="155"/>
    <x v="63"/>
    <x v="87"/>
    <s v="P103"/>
    <x v="6"/>
    <x v="0"/>
    <x v="0"/>
    <x v="2"/>
    <n v="10"/>
    <n v="1500"/>
    <n v="20"/>
    <n v="12000"/>
    <n v="10500"/>
    <n v="1500"/>
    <x v="2"/>
    <s v="Returned"/>
    <x v="1"/>
    <s v="Q4"/>
    <n v="2025"/>
    <n v="0.125"/>
  </r>
  <r>
    <x v="831"/>
    <x v="13"/>
    <x v="87"/>
    <x v="72"/>
    <s v="P101"/>
    <x v="2"/>
    <x v="0"/>
    <x v="1"/>
    <x v="5"/>
    <n v="3"/>
    <n v="55000"/>
    <n v="0"/>
    <n v="165000"/>
    <n v="115500"/>
    <n v="49500.000000000007"/>
    <x v="0"/>
    <s v="Delivered"/>
    <x v="5"/>
    <s v="Q3"/>
    <n v="2025"/>
    <n v="0.30000000000000004"/>
  </r>
  <r>
    <x v="832"/>
    <x v="47"/>
    <x v="39"/>
    <x v="25"/>
    <s v="P106"/>
    <x v="3"/>
    <x v="0"/>
    <x v="1"/>
    <x v="2"/>
    <n v="4"/>
    <n v="9500"/>
    <n v="15"/>
    <n v="32300"/>
    <n v="26600"/>
    <n v="5700"/>
    <x v="3"/>
    <s v="Pending"/>
    <x v="4"/>
    <s v="Q4"/>
    <n v="2025"/>
    <n v="0.17647058823529413"/>
  </r>
  <r>
    <x v="833"/>
    <x v="176"/>
    <x v="83"/>
    <x v="32"/>
    <s v="P102"/>
    <x v="1"/>
    <x v="0"/>
    <x v="3"/>
    <x v="3"/>
    <n v="4"/>
    <n v="800"/>
    <n v="20"/>
    <n v="2560"/>
    <n v="2240"/>
    <n v="320"/>
    <x v="0"/>
    <s v="Pending"/>
    <x v="0"/>
    <s v="Q4"/>
    <n v="2025"/>
    <n v="0.125"/>
  </r>
  <r>
    <x v="834"/>
    <x v="220"/>
    <x v="82"/>
    <x v="59"/>
    <s v="P101"/>
    <x v="2"/>
    <x v="0"/>
    <x v="0"/>
    <x v="1"/>
    <n v="1"/>
    <n v="55000"/>
    <n v="10"/>
    <n v="49500"/>
    <n v="38500"/>
    <n v="11000"/>
    <x v="0"/>
    <s v="Returned"/>
    <x v="7"/>
    <s v="Q1"/>
    <n v="2025"/>
    <n v="0.22222222222222221"/>
  </r>
  <r>
    <x v="835"/>
    <x v="76"/>
    <x v="90"/>
    <x v="88"/>
    <s v="P104"/>
    <x v="7"/>
    <x v="2"/>
    <x v="1"/>
    <x v="5"/>
    <n v="9"/>
    <n v="4500"/>
    <n v="10"/>
    <n v="36450"/>
    <n v="28350"/>
    <n v="8100"/>
    <x v="2"/>
    <s v="Delivered"/>
    <x v="2"/>
    <s v="Q2"/>
    <n v="2025"/>
    <n v="0.22222222222222221"/>
  </r>
  <r>
    <x v="836"/>
    <x v="215"/>
    <x v="96"/>
    <x v="58"/>
    <s v="P107"/>
    <x v="0"/>
    <x v="0"/>
    <x v="0"/>
    <x v="5"/>
    <n v="8"/>
    <n v="3500"/>
    <n v="5"/>
    <n v="26600"/>
    <n v="19600"/>
    <n v="7000"/>
    <x v="1"/>
    <s v="Delivered"/>
    <x v="4"/>
    <s v="Q4"/>
    <n v="2025"/>
    <n v="0.26315789473684209"/>
  </r>
  <r>
    <x v="837"/>
    <x v="207"/>
    <x v="3"/>
    <x v="56"/>
    <s v="P107"/>
    <x v="0"/>
    <x v="0"/>
    <x v="1"/>
    <x v="2"/>
    <n v="6"/>
    <n v="3500"/>
    <n v="0"/>
    <n v="21000"/>
    <n v="14700"/>
    <n v="6300.0000000000018"/>
    <x v="0"/>
    <s v="Pending"/>
    <x v="1"/>
    <s v="Q4"/>
    <n v="2025"/>
    <n v="0.3000000000000001"/>
  </r>
  <r>
    <x v="838"/>
    <x v="324"/>
    <x v="77"/>
    <x v="19"/>
    <s v="P103"/>
    <x v="6"/>
    <x v="0"/>
    <x v="3"/>
    <x v="5"/>
    <n v="1"/>
    <n v="1500"/>
    <n v="0"/>
    <n v="1500"/>
    <n v="1050"/>
    <n v="450"/>
    <x v="3"/>
    <s v="Returned"/>
    <x v="5"/>
    <s v="Q3"/>
    <n v="2025"/>
    <n v="0.3"/>
  </r>
  <r>
    <x v="839"/>
    <x v="269"/>
    <x v="41"/>
    <x v="69"/>
    <s v="P103"/>
    <x v="6"/>
    <x v="0"/>
    <x v="1"/>
    <x v="1"/>
    <n v="3"/>
    <n v="1500"/>
    <n v="5"/>
    <n v="4275"/>
    <n v="3150"/>
    <n v="1125"/>
    <x v="3"/>
    <s v="Pending"/>
    <x v="9"/>
    <s v="Q1"/>
    <n v="2025"/>
    <n v="0.26315789473684209"/>
  </r>
  <r>
    <x v="840"/>
    <x v="100"/>
    <x v="81"/>
    <x v="85"/>
    <s v="P101"/>
    <x v="2"/>
    <x v="0"/>
    <x v="3"/>
    <x v="0"/>
    <n v="9"/>
    <n v="55000"/>
    <n v="0"/>
    <n v="495000"/>
    <n v="346500"/>
    <n v="148500"/>
    <x v="0"/>
    <s v="Delivered"/>
    <x v="3"/>
    <s v="Q1"/>
    <n v="2025"/>
    <n v="0.3"/>
  </r>
  <r>
    <x v="841"/>
    <x v="211"/>
    <x v="72"/>
    <x v="19"/>
    <s v="P105"/>
    <x v="5"/>
    <x v="2"/>
    <x v="3"/>
    <x v="2"/>
    <n v="10"/>
    <n v="8500"/>
    <n v="20"/>
    <n v="68000"/>
    <n v="59499.999999999993"/>
    <n v="8500.0000000000073"/>
    <x v="3"/>
    <s v="Returned"/>
    <x v="9"/>
    <s v="Q1"/>
    <n v="2025"/>
    <n v="0.12500000000000011"/>
  </r>
  <r>
    <x v="842"/>
    <x v="271"/>
    <x v="44"/>
    <x v="98"/>
    <s v="P108"/>
    <x v="4"/>
    <x v="1"/>
    <x v="0"/>
    <x v="1"/>
    <n v="4"/>
    <n v="3200"/>
    <n v="15"/>
    <n v="10880"/>
    <n v="8960"/>
    <n v="1920"/>
    <x v="0"/>
    <s v="Delivered"/>
    <x v="8"/>
    <s v="Q3"/>
    <n v="2025"/>
    <n v="0.17647058823529413"/>
  </r>
  <r>
    <x v="843"/>
    <x v="288"/>
    <x v="54"/>
    <x v="89"/>
    <s v="P106"/>
    <x v="3"/>
    <x v="0"/>
    <x v="1"/>
    <x v="0"/>
    <n v="3"/>
    <n v="9500"/>
    <n v="10"/>
    <n v="25650"/>
    <n v="19950"/>
    <n v="5700"/>
    <x v="0"/>
    <s v="Returned"/>
    <x v="4"/>
    <s v="Q4"/>
    <n v="2025"/>
    <n v="0.22222222222222221"/>
  </r>
  <r>
    <x v="844"/>
    <x v="99"/>
    <x v="71"/>
    <x v="79"/>
    <s v="P102"/>
    <x v="1"/>
    <x v="0"/>
    <x v="0"/>
    <x v="4"/>
    <n v="8"/>
    <n v="800"/>
    <n v="15"/>
    <n v="5440"/>
    <n v="4480"/>
    <n v="960"/>
    <x v="3"/>
    <s v="Returned"/>
    <x v="2"/>
    <s v="Q2"/>
    <n v="2025"/>
    <n v="0.17647058823529413"/>
  </r>
  <r>
    <x v="845"/>
    <x v="31"/>
    <x v="59"/>
    <x v="23"/>
    <s v="P106"/>
    <x v="3"/>
    <x v="0"/>
    <x v="3"/>
    <x v="2"/>
    <n v="7"/>
    <n v="9500"/>
    <n v="15"/>
    <n v="56525"/>
    <n v="46550"/>
    <n v="9975"/>
    <x v="3"/>
    <s v="Returned"/>
    <x v="8"/>
    <s v="Q3"/>
    <n v="2025"/>
    <n v="0.17647058823529413"/>
  </r>
  <r>
    <x v="846"/>
    <x v="327"/>
    <x v="26"/>
    <x v="66"/>
    <s v="P108"/>
    <x v="4"/>
    <x v="1"/>
    <x v="1"/>
    <x v="5"/>
    <n v="7"/>
    <n v="3200"/>
    <n v="20"/>
    <n v="17920"/>
    <n v="15680"/>
    <n v="2240.0000000000018"/>
    <x v="2"/>
    <s v="Delivered"/>
    <x v="7"/>
    <s v="Q1"/>
    <n v="2025"/>
    <n v="0.12500000000000011"/>
  </r>
  <r>
    <x v="847"/>
    <x v="277"/>
    <x v="1"/>
    <x v="12"/>
    <s v="P101"/>
    <x v="2"/>
    <x v="0"/>
    <x v="0"/>
    <x v="0"/>
    <n v="6"/>
    <n v="55000"/>
    <n v="20"/>
    <n v="264000"/>
    <n v="231000"/>
    <n v="33000.000000000029"/>
    <x v="3"/>
    <s v="Delivered"/>
    <x v="6"/>
    <s v="Q2"/>
    <n v="2025"/>
    <n v="0.12500000000000011"/>
  </r>
  <r>
    <x v="848"/>
    <x v="131"/>
    <x v="55"/>
    <x v="4"/>
    <s v="P107"/>
    <x v="0"/>
    <x v="0"/>
    <x v="1"/>
    <x v="5"/>
    <n v="9"/>
    <n v="3500"/>
    <n v="20"/>
    <n v="25200"/>
    <n v="22050"/>
    <n v="3150"/>
    <x v="0"/>
    <s v="Delivered"/>
    <x v="9"/>
    <s v="Q1"/>
    <n v="2025"/>
    <n v="0.125"/>
  </r>
  <r>
    <x v="849"/>
    <x v="21"/>
    <x v="37"/>
    <x v="29"/>
    <s v="P105"/>
    <x v="5"/>
    <x v="2"/>
    <x v="1"/>
    <x v="4"/>
    <n v="4"/>
    <n v="8500"/>
    <n v="10"/>
    <n v="30600"/>
    <n v="23800"/>
    <n v="6800"/>
    <x v="2"/>
    <s v="Returned"/>
    <x v="7"/>
    <s v="Q1"/>
    <n v="2025"/>
    <n v="0.22222222222222221"/>
  </r>
  <r>
    <x v="850"/>
    <x v="13"/>
    <x v="85"/>
    <x v="58"/>
    <s v="P107"/>
    <x v="0"/>
    <x v="0"/>
    <x v="0"/>
    <x v="4"/>
    <n v="5"/>
    <n v="3500"/>
    <n v="15"/>
    <n v="14875"/>
    <n v="12250"/>
    <n v="2625"/>
    <x v="0"/>
    <s v="Returned"/>
    <x v="5"/>
    <s v="Q3"/>
    <n v="2025"/>
    <n v="0.17647058823529413"/>
  </r>
  <r>
    <x v="851"/>
    <x v="275"/>
    <x v="72"/>
    <x v="70"/>
    <s v="P108"/>
    <x v="4"/>
    <x v="1"/>
    <x v="1"/>
    <x v="1"/>
    <n v="7"/>
    <n v="3200"/>
    <n v="15"/>
    <n v="19040"/>
    <n v="15680"/>
    <n v="3360.0000000000018"/>
    <x v="1"/>
    <s v="Returned"/>
    <x v="2"/>
    <s v="Q2"/>
    <n v="2025"/>
    <n v="0.17647058823529421"/>
  </r>
  <r>
    <x v="852"/>
    <x v="12"/>
    <x v="77"/>
    <x v="0"/>
    <s v="P108"/>
    <x v="4"/>
    <x v="1"/>
    <x v="3"/>
    <x v="1"/>
    <n v="2"/>
    <n v="3200"/>
    <n v="10"/>
    <n v="5760"/>
    <n v="4480"/>
    <n v="1280"/>
    <x v="1"/>
    <s v="Delivered"/>
    <x v="1"/>
    <s v="Q4"/>
    <n v="2025"/>
    <n v="0.22222222222222221"/>
  </r>
  <r>
    <x v="853"/>
    <x v="87"/>
    <x v="26"/>
    <x v="68"/>
    <s v="P102"/>
    <x v="1"/>
    <x v="0"/>
    <x v="3"/>
    <x v="0"/>
    <n v="5"/>
    <n v="800"/>
    <n v="10"/>
    <n v="3600"/>
    <n v="2800"/>
    <n v="800"/>
    <x v="1"/>
    <s v="Delivered"/>
    <x v="5"/>
    <s v="Q3"/>
    <n v="2025"/>
    <n v="0.22222222222222221"/>
  </r>
  <r>
    <x v="854"/>
    <x v="328"/>
    <x v="69"/>
    <x v="97"/>
    <s v="P104"/>
    <x v="7"/>
    <x v="2"/>
    <x v="3"/>
    <x v="5"/>
    <n v="7"/>
    <n v="4500"/>
    <n v="0"/>
    <n v="31500"/>
    <n v="22050"/>
    <n v="9450"/>
    <x v="0"/>
    <s v="Delivered"/>
    <x v="3"/>
    <s v="Q1"/>
    <n v="2025"/>
    <n v="0.3"/>
  </r>
  <r>
    <x v="855"/>
    <x v="132"/>
    <x v="27"/>
    <x v="48"/>
    <s v="P104"/>
    <x v="7"/>
    <x v="2"/>
    <x v="3"/>
    <x v="5"/>
    <n v="8"/>
    <n v="4500"/>
    <n v="10"/>
    <n v="32400"/>
    <n v="25200"/>
    <n v="7200"/>
    <x v="0"/>
    <s v="Pending"/>
    <x v="3"/>
    <s v="Q1"/>
    <n v="2025"/>
    <n v="0.22222222222222221"/>
  </r>
  <r>
    <x v="856"/>
    <x v="297"/>
    <x v="18"/>
    <x v="17"/>
    <s v="P102"/>
    <x v="1"/>
    <x v="0"/>
    <x v="3"/>
    <x v="3"/>
    <n v="2"/>
    <n v="800"/>
    <n v="20"/>
    <n v="1280"/>
    <n v="1120"/>
    <n v="160"/>
    <x v="1"/>
    <s v="Delivered"/>
    <x v="0"/>
    <s v="Q4"/>
    <n v="2025"/>
    <n v="0.125"/>
  </r>
  <r>
    <x v="857"/>
    <x v="145"/>
    <x v="55"/>
    <x v="35"/>
    <s v="P103"/>
    <x v="6"/>
    <x v="0"/>
    <x v="1"/>
    <x v="3"/>
    <n v="5"/>
    <n v="1500"/>
    <n v="5"/>
    <n v="7125"/>
    <n v="5250"/>
    <n v="1875"/>
    <x v="0"/>
    <s v="Pending"/>
    <x v="11"/>
    <s v="Q3"/>
    <n v="2025"/>
    <n v="0.26315789473684209"/>
  </r>
  <r>
    <x v="858"/>
    <x v="199"/>
    <x v="30"/>
    <x v="76"/>
    <s v="P102"/>
    <x v="1"/>
    <x v="0"/>
    <x v="1"/>
    <x v="2"/>
    <n v="4"/>
    <n v="800"/>
    <n v="0"/>
    <n v="3200"/>
    <n v="2240"/>
    <n v="960"/>
    <x v="3"/>
    <s v="Pending"/>
    <x v="3"/>
    <s v="Q1"/>
    <n v="2025"/>
    <n v="0.3"/>
  </r>
  <r>
    <x v="859"/>
    <x v="205"/>
    <x v="56"/>
    <x v="2"/>
    <s v="P102"/>
    <x v="1"/>
    <x v="0"/>
    <x v="2"/>
    <x v="3"/>
    <n v="4"/>
    <n v="800"/>
    <n v="20"/>
    <n v="2560"/>
    <n v="2240"/>
    <n v="320"/>
    <x v="2"/>
    <s v="Pending"/>
    <x v="8"/>
    <s v="Q3"/>
    <n v="2025"/>
    <n v="0.125"/>
  </r>
  <r>
    <x v="860"/>
    <x v="85"/>
    <x v="98"/>
    <x v="69"/>
    <s v="P104"/>
    <x v="7"/>
    <x v="2"/>
    <x v="0"/>
    <x v="1"/>
    <n v="2"/>
    <n v="4500"/>
    <n v="15"/>
    <n v="7650"/>
    <n v="6300"/>
    <n v="1350"/>
    <x v="1"/>
    <s v="Returned"/>
    <x v="4"/>
    <s v="Q4"/>
    <n v="2025"/>
    <n v="0.17647058823529413"/>
  </r>
  <r>
    <x v="861"/>
    <x v="287"/>
    <x v="48"/>
    <x v="6"/>
    <s v="P102"/>
    <x v="1"/>
    <x v="0"/>
    <x v="3"/>
    <x v="5"/>
    <n v="10"/>
    <n v="800"/>
    <n v="20"/>
    <n v="6400"/>
    <n v="5600"/>
    <n v="800"/>
    <x v="0"/>
    <s v="Pending"/>
    <x v="2"/>
    <s v="Q2"/>
    <n v="2025"/>
    <n v="0.125"/>
  </r>
  <r>
    <x v="862"/>
    <x v="204"/>
    <x v="33"/>
    <x v="86"/>
    <s v="P108"/>
    <x v="4"/>
    <x v="1"/>
    <x v="2"/>
    <x v="2"/>
    <n v="5"/>
    <n v="3200"/>
    <n v="0"/>
    <n v="16000"/>
    <n v="11200"/>
    <n v="4800"/>
    <x v="3"/>
    <s v="Returned"/>
    <x v="7"/>
    <s v="Q1"/>
    <n v="2025"/>
    <n v="0.3"/>
  </r>
  <r>
    <x v="863"/>
    <x v="225"/>
    <x v="97"/>
    <x v="93"/>
    <s v="P107"/>
    <x v="0"/>
    <x v="0"/>
    <x v="1"/>
    <x v="5"/>
    <n v="5"/>
    <n v="3500"/>
    <n v="10"/>
    <n v="15750"/>
    <n v="12250"/>
    <n v="3500"/>
    <x v="1"/>
    <s v="Delivered"/>
    <x v="0"/>
    <s v="Q4"/>
    <n v="2025"/>
    <n v="0.22222222222222221"/>
  </r>
  <r>
    <x v="864"/>
    <x v="315"/>
    <x v="79"/>
    <x v="92"/>
    <s v="P108"/>
    <x v="4"/>
    <x v="1"/>
    <x v="1"/>
    <x v="1"/>
    <n v="7"/>
    <n v="3200"/>
    <n v="15"/>
    <n v="19040"/>
    <n v="15680"/>
    <n v="3360.0000000000018"/>
    <x v="0"/>
    <s v="Returned"/>
    <x v="4"/>
    <s v="Q4"/>
    <n v="2025"/>
    <n v="0.17647058823529421"/>
  </r>
  <r>
    <x v="865"/>
    <x v="300"/>
    <x v="15"/>
    <x v="77"/>
    <s v="P107"/>
    <x v="0"/>
    <x v="0"/>
    <x v="0"/>
    <x v="4"/>
    <n v="3"/>
    <n v="3500"/>
    <n v="0"/>
    <n v="10500"/>
    <n v="7349.9999999999991"/>
    <n v="3150.0000000000009"/>
    <x v="1"/>
    <s v="Pending"/>
    <x v="3"/>
    <s v="Q1"/>
    <n v="2025"/>
    <n v="0.3000000000000001"/>
  </r>
  <r>
    <x v="866"/>
    <x v="193"/>
    <x v="55"/>
    <x v="23"/>
    <s v="P104"/>
    <x v="7"/>
    <x v="2"/>
    <x v="0"/>
    <x v="4"/>
    <n v="5"/>
    <n v="4500"/>
    <n v="10"/>
    <n v="20250"/>
    <n v="15750"/>
    <n v="4500.0000000000018"/>
    <x v="1"/>
    <s v="Delivered"/>
    <x v="6"/>
    <s v="Q2"/>
    <n v="2025"/>
    <n v="0.22222222222222232"/>
  </r>
  <r>
    <x v="867"/>
    <x v="99"/>
    <x v="30"/>
    <x v="25"/>
    <s v="P102"/>
    <x v="1"/>
    <x v="0"/>
    <x v="2"/>
    <x v="2"/>
    <n v="8"/>
    <n v="800"/>
    <n v="20"/>
    <n v="5120"/>
    <n v="4480"/>
    <n v="640"/>
    <x v="2"/>
    <s v="Returned"/>
    <x v="2"/>
    <s v="Q2"/>
    <n v="2025"/>
    <n v="0.125"/>
  </r>
  <r>
    <x v="868"/>
    <x v="79"/>
    <x v="19"/>
    <x v="90"/>
    <s v="P101"/>
    <x v="2"/>
    <x v="0"/>
    <x v="0"/>
    <x v="5"/>
    <n v="9"/>
    <n v="55000"/>
    <n v="0"/>
    <n v="495000"/>
    <n v="346500"/>
    <n v="148500"/>
    <x v="2"/>
    <s v="Pending"/>
    <x v="6"/>
    <s v="Q2"/>
    <n v="2025"/>
    <n v="0.3"/>
  </r>
  <r>
    <x v="869"/>
    <x v="129"/>
    <x v="34"/>
    <x v="42"/>
    <s v="P103"/>
    <x v="6"/>
    <x v="0"/>
    <x v="2"/>
    <x v="5"/>
    <n v="9"/>
    <n v="1500"/>
    <n v="5"/>
    <n v="12825"/>
    <n v="9450"/>
    <n v="3375"/>
    <x v="2"/>
    <s v="Returned"/>
    <x v="7"/>
    <s v="Q1"/>
    <n v="2025"/>
    <n v="0.26315789473684209"/>
  </r>
  <r>
    <x v="870"/>
    <x v="3"/>
    <x v="95"/>
    <x v="51"/>
    <s v="P101"/>
    <x v="2"/>
    <x v="0"/>
    <x v="3"/>
    <x v="1"/>
    <n v="8"/>
    <n v="55000"/>
    <n v="10"/>
    <n v="396000"/>
    <n v="308000"/>
    <n v="88000"/>
    <x v="0"/>
    <s v="Returned"/>
    <x v="3"/>
    <s v="Q1"/>
    <n v="2025"/>
    <n v="0.22222222222222221"/>
  </r>
  <r>
    <x v="871"/>
    <x v="329"/>
    <x v="8"/>
    <x v="29"/>
    <s v="P106"/>
    <x v="3"/>
    <x v="0"/>
    <x v="1"/>
    <x v="1"/>
    <n v="8"/>
    <n v="9500"/>
    <n v="0"/>
    <n v="76000"/>
    <n v="53200"/>
    <n v="22800"/>
    <x v="0"/>
    <s v="Pending"/>
    <x v="0"/>
    <s v="Q4"/>
    <n v="2025"/>
    <n v="0.3"/>
  </r>
  <r>
    <x v="872"/>
    <x v="204"/>
    <x v="72"/>
    <x v="32"/>
    <s v="P106"/>
    <x v="3"/>
    <x v="0"/>
    <x v="3"/>
    <x v="0"/>
    <n v="9"/>
    <n v="9500"/>
    <n v="5"/>
    <n v="81225"/>
    <n v="59849.999999999993"/>
    <n v="21375.000000000011"/>
    <x v="0"/>
    <s v="Pending"/>
    <x v="7"/>
    <s v="Q1"/>
    <n v="2025"/>
    <n v="0.26315789473684226"/>
  </r>
  <r>
    <x v="873"/>
    <x v="47"/>
    <x v="84"/>
    <x v="37"/>
    <s v="P101"/>
    <x v="2"/>
    <x v="0"/>
    <x v="1"/>
    <x v="5"/>
    <n v="9"/>
    <n v="55000"/>
    <n v="0"/>
    <n v="495000"/>
    <n v="346500"/>
    <n v="148500"/>
    <x v="2"/>
    <s v="Delivered"/>
    <x v="4"/>
    <s v="Q4"/>
    <n v="2025"/>
    <n v="0.3"/>
  </r>
  <r>
    <x v="874"/>
    <x v="330"/>
    <x v="20"/>
    <x v="41"/>
    <s v="P108"/>
    <x v="4"/>
    <x v="1"/>
    <x v="3"/>
    <x v="4"/>
    <n v="10"/>
    <n v="3200"/>
    <n v="5"/>
    <n v="30400"/>
    <n v="22400"/>
    <n v="8000"/>
    <x v="3"/>
    <s v="Pending"/>
    <x v="3"/>
    <s v="Q1"/>
    <n v="2025"/>
    <n v="0.26315789473684209"/>
  </r>
  <r>
    <x v="875"/>
    <x v="331"/>
    <x v="62"/>
    <x v="40"/>
    <s v="P104"/>
    <x v="7"/>
    <x v="2"/>
    <x v="0"/>
    <x v="4"/>
    <n v="3"/>
    <n v="4500"/>
    <n v="20"/>
    <n v="10800"/>
    <n v="9450"/>
    <n v="1350"/>
    <x v="3"/>
    <s v="Pending"/>
    <x v="9"/>
    <s v="Q1"/>
    <n v="2025"/>
    <n v="0.125"/>
  </r>
  <r>
    <x v="876"/>
    <x v="249"/>
    <x v="47"/>
    <x v="57"/>
    <s v="P104"/>
    <x v="7"/>
    <x v="2"/>
    <x v="2"/>
    <x v="4"/>
    <n v="8"/>
    <n v="4500"/>
    <n v="15"/>
    <n v="30600"/>
    <n v="25200"/>
    <n v="5400"/>
    <x v="0"/>
    <s v="Delivered"/>
    <x v="6"/>
    <s v="Q2"/>
    <n v="2025"/>
    <n v="0.17647058823529413"/>
  </r>
  <r>
    <x v="877"/>
    <x v="59"/>
    <x v="42"/>
    <x v="67"/>
    <s v="P101"/>
    <x v="2"/>
    <x v="0"/>
    <x v="1"/>
    <x v="1"/>
    <n v="10"/>
    <n v="55000"/>
    <n v="10"/>
    <n v="495000"/>
    <n v="385000"/>
    <n v="110000"/>
    <x v="0"/>
    <s v="Returned"/>
    <x v="5"/>
    <s v="Q3"/>
    <n v="2025"/>
    <n v="0.22222222222222221"/>
  </r>
  <r>
    <x v="878"/>
    <x v="162"/>
    <x v="35"/>
    <x v="33"/>
    <s v="P106"/>
    <x v="3"/>
    <x v="0"/>
    <x v="0"/>
    <x v="0"/>
    <n v="10"/>
    <n v="9500"/>
    <n v="15"/>
    <n v="80750"/>
    <n v="66500"/>
    <n v="14250"/>
    <x v="0"/>
    <s v="Returned"/>
    <x v="7"/>
    <s v="Q1"/>
    <n v="2025"/>
    <n v="0.17647058823529413"/>
  </r>
  <r>
    <x v="879"/>
    <x v="224"/>
    <x v="94"/>
    <x v="69"/>
    <s v="P102"/>
    <x v="1"/>
    <x v="0"/>
    <x v="3"/>
    <x v="3"/>
    <n v="1"/>
    <n v="800"/>
    <n v="5"/>
    <n v="760"/>
    <n v="560"/>
    <n v="200"/>
    <x v="1"/>
    <s v="Pending"/>
    <x v="10"/>
    <s v="Q2"/>
    <n v="2025"/>
    <n v="0.26315789473684209"/>
  </r>
  <r>
    <x v="880"/>
    <x v="259"/>
    <x v="33"/>
    <x v="45"/>
    <s v="P105"/>
    <x v="5"/>
    <x v="2"/>
    <x v="2"/>
    <x v="1"/>
    <n v="1"/>
    <n v="8500"/>
    <n v="15"/>
    <n v="7225"/>
    <n v="5950"/>
    <n v="1275"/>
    <x v="1"/>
    <s v="Returned"/>
    <x v="4"/>
    <s v="Q4"/>
    <n v="2025"/>
    <n v="0.17647058823529413"/>
  </r>
  <r>
    <x v="881"/>
    <x v="14"/>
    <x v="85"/>
    <x v="50"/>
    <s v="P105"/>
    <x v="5"/>
    <x v="2"/>
    <x v="0"/>
    <x v="5"/>
    <n v="1"/>
    <n v="8500"/>
    <n v="5"/>
    <n v="8075"/>
    <n v="5950"/>
    <n v="2125"/>
    <x v="3"/>
    <s v="Returned"/>
    <x v="7"/>
    <s v="Q1"/>
    <n v="2025"/>
    <n v="0.26315789473684209"/>
  </r>
  <r>
    <x v="882"/>
    <x v="58"/>
    <x v="43"/>
    <x v="87"/>
    <s v="P103"/>
    <x v="6"/>
    <x v="0"/>
    <x v="3"/>
    <x v="3"/>
    <n v="8"/>
    <n v="1500"/>
    <n v="0"/>
    <n v="12000"/>
    <n v="8400"/>
    <n v="3600"/>
    <x v="1"/>
    <s v="Delivered"/>
    <x v="0"/>
    <s v="Q4"/>
    <n v="2025"/>
    <n v="0.3"/>
  </r>
  <r>
    <x v="883"/>
    <x v="201"/>
    <x v="48"/>
    <x v="84"/>
    <s v="P103"/>
    <x v="6"/>
    <x v="0"/>
    <x v="1"/>
    <x v="4"/>
    <n v="8"/>
    <n v="1500"/>
    <n v="15"/>
    <n v="10200"/>
    <n v="8400"/>
    <n v="1800"/>
    <x v="3"/>
    <s v="Pending"/>
    <x v="3"/>
    <s v="Q1"/>
    <n v="2025"/>
    <n v="0.17647058823529413"/>
  </r>
  <r>
    <x v="884"/>
    <x v="194"/>
    <x v="43"/>
    <x v="93"/>
    <s v="P101"/>
    <x v="2"/>
    <x v="0"/>
    <x v="0"/>
    <x v="5"/>
    <n v="2"/>
    <n v="55000"/>
    <n v="0"/>
    <n v="110000"/>
    <n v="77000"/>
    <n v="33000"/>
    <x v="3"/>
    <s v="Returned"/>
    <x v="3"/>
    <s v="Q1"/>
    <n v="2025"/>
    <n v="0.3"/>
  </r>
  <r>
    <x v="885"/>
    <x v="224"/>
    <x v="37"/>
    <x v="29"/>
    <s v="P103"/>
    <x v="6"/>
    <x v="0"/>
    <x v="2"/>
    <x v="0"/>
    <n v="10"/>
    <n v="1500"/>
    <n v="20"/>
    <n v="12000"/>
    <n v="10500"/>
    <n v="1500"/>
    <x v="0"/>
    <s v="Returned"/>
    <x v="10"/>
    <s v="Q2"/>
    <n v="2025"/>
    <n v="0.125"/>
  </r>
  <r>
    <x v="886"/>
    <x v="231"/>
    <x v="45"/>
    <x v="99"/>
    <s v="P103"/>
    <x v="6"/>
    <x v="0"/>
    <x v="0"/>
    <x v="1"/>
    <n v="6"/>
    <n v="1500"/>
    <n v="0"/>
    <n v="9000"/>
    <n v="6300"/>
    <n v="2700"/>
    <x v="3"/>
    <s v="Pending"/>
    <x v="2"/>
    <s v="Q2"/>
    <n v="2025"/>
    <n v="0.3"/>
  </r>
  <r>
    <x v="887"/>
    <x v="153"/>
    <x v="22"/>
    <x v="53"/>
    <s v="P108"/>
    <x v="4"/>
    <x v="1"/>
    <x v="0"/>
    <x v="3"/>
    <n v="7"/>
    <n v="3200"/>
    <n v="10"/>
    <n v="20160"/>
    <n v="15680"/>
    <n v="4480.0000000000018"/>
    <x v="3"/>
    <s v="Pending"/>
    <x v="2"/>
    <s v="Q2"/>
    <n v="2025"/>
    <n v="0.22222222222222232"/>
  </r>
  <r>
    <x v="888"/>
    <x v="75"/>
    <x v="93"/>
    <x v="89"/>
    <s v="P106"/>
    <x v="3"/>
    <x v="0"/>
    <x v="2"/>
    <x v="2"/>
    <n v="6"/>
    <n v="9500"/>
    <n v="15"/>
    <n v="48450"/>
    <n v="39900"/>
    <n v="8550"/>
    <x v="2"/>
    <s v="Delivered"/>
    <x v="0"/>
    <s v="Q4"/>
    <n v="2025"/>
    <n v="0.17647058823529413"/>
  </r>
  <r>
    <x v="889"/>
    <x v="136"/>
    <x v="0"/>
    <x v="18"/>
    <s v="P103"/>
    <x v="6"/>
    <x v="0"/>
    <x v="0"/>
    <x v="0"/>
    <n v="10"/>
    <n v="1500"/>
    <n v="15"/>
    <n v="12750"/>
    <n v="10500"/>
    <n v="2250"/>
    <x v="3"/>
    <s v="Pending"/>
    <x v="2"/>
    <s v="Q2"/>
    <n v="2025"/>
    <n v="0.17647058823529413"/>
  </r>
  <r>
    <x v="890"/>
    <x v="25"/>
    <x v="89"/>
    <x v="1"/>
    <s v="P107"/>
    <x v="0"/>
    <x v="0"/>
    <x v="1"/>
    <x v="4"/>
    <n v="8"/>
    <n v="3500"/>
    <n v="20"/>
    <n v="22400"/>
    <n v="19600"/>
    <n v="2800"/>
    <x v="3"/>
    <s v="Pending"/>
    <x v="9"/>
    <s v="Q1"/>
    <n v="2025"/>
    <n v="0.125"/>
  </r>
  <r>
    <x v="891"/>
    <x v="279"/>
    <x v="33"/>
    <x v="1"/>
    <s v="P106"/>
    <x v="3"/>
    <x v="0"/>
    <x v="1"/>
    <x v="5"/>
    <n v="1"/>
    <n v="9500"/>
    <n v="20"/>
    <n v="7600"/>
    <n v="6650"/>
    <n v="950"/>
    <x v="2"/>
    <s v="Delivered"/>
    <x v="6"/>
    <s v="Q2"/>
    <n v="2025"/>
    <n v="0.125"/>
  </r>
  <r>
    <x v="892"/>
    <x v="167"/>
    <x v="22"/>
    <x v="67"/>
    <s v="P105"/>
    <x v="5"/>
    <x v="2"/>
    <x v="1"/>
    <x v="2"/>
    <n v="3"/>
    <n v="8500"/>
    <n v="15"/>
    <n v="21675"/>
    <n v="17850"/>
    <n v="3825"/>
    <x v="3"/>
    <s v="Returned"/>
    <x v="5"/>
    <s v="Q3"/>
    <n v="2025"/>
    <n v="0.17647058823529413"/>
  </r>
  <r>
    <x v="893"/>
    <x v="132"/>
    <x v="85"/>
    <x v="75"/>
    <s v="P107"/>
    <x v="0"/>
    <x v="0"/>
    <x v="1"/>
    <x v="4"/>
    <n v="8"/>
    <n v="3500"/>
    <n v="20"/>
    <n v="22400"/>
    <n v="19600"/>
    <n v="2800"/>
    <x v="1"/>
    <s v="Returned"/>
    <x v="3"/>
    <s v="Q1"/>
    <n v="2025"/>
    <n v="0.125"/>
  </r>
  <r>
    <x v="894"/>
    <x v="38"/>
    <x v="27"/>
    <x v="5"/>
    <s v="P105"/>
    <x v="5"/>
    <x v="2"/>
    <x v="1"/>
    <x v="1"/>
    <n v="9"/>
    <n v="8500"/>
    <n v="20"/>
    <n v="61200"/>
    <n v="53550"/>
    <n v="7650"/>
    <x v="2"/>
    <s v="Pending"/>
    <x v="4"/>
    <s v="Q4"/>
    <n v="2025"/>
    <n v="0.125"/>
  </r>
  <r>
    <x v="895"/>
    <x v="35"/>
    <x v="2"/>
    <x v="78"/>
    <s v="P103"/>
    <x v="6"/>
    <x v="0"/>
    <x v="2"/>
    <x v="0"/>
    <n v="2"/>
    <n v="1500"/>
    <n v="20"/>
    <n v="2400"/>
    <n v="2100"/>
    <n v="300"/>
    <x v="2"/>
    <s v="Returned"/>
    <x v="0"/>
    <s v="Q4"/>
    <n v="2025"/>
    <n v="0.125"/>
  </r>
  <r>
    <x v="896"/>
    <x v="53"/>
    <x v="90"/>
    <x v="94"/>
    <s v="P102"/>
    <x v="1"/>
    <x v="0"/>
    <x v="1"/>
    <x v="0"/>
    <n v="2"/>
    <n v="800"/>
    <n v="0"/>
    <n v="1600"/>
    <n v="1120"/>
    <n v="480"/>
    <x v="2"/>
    <s v="Returned"/>
    <x v="11"/>
    <s v="Q3"/>
    <n v="2025"/>
    <n v="0.3"/>
  </r>
  <r>
    <x v="897"/>
    <x v="228"/>
    <x v="86"/>
    <x v="0"/>
    <s v="P107"/>
    <x v="0"/>
    <x v="0"/>
    <x v="2"/>
    <x v="3"/>
    <n v="8"/>
    <n v="3500"/>
    <n v="5"/>
    <n v="26600"/>
    <n v="19600"/>
    <n v="7000"/>
    <x v="2"/>
    <s v="Pending"/>
    <x v="1"/>
    <s v="Q4"/>
    <n v="2025"/>
    <n v="0.26315789473684209"/>
  </r>
  <r>
    <x v="898"/>
    <x v="222"/>
    <x v="83"/>
    <x v="58"/>
    <s v="P102"/>
    <x v="1"/>
    <x v="0"/>
    <x v="0"/>
    <x v="1"/>
    <n v="1"/>
    <n v="800"/>
    <n v="20"/>
    <n v="640"/>
    <n v="560"/>
    <n v="80"/>
    <x v="1"/>
    <s v="Returned"/>
    <x v="0"/>
    <s v="Q4"/>
    <n v="2025"/>
    <n v="0.125"/>
  </r>
  <r>
    <x v="899"/>
    <x v="327"/>
    <x v="20"/>
    <x v="64"/>
    <s v="P103"/>
    <x v="6"/>
    <x v="0"/>
    <x v="3"/>
    <x v="1"/>
    <n v="5"/>
    <n v="1500"/>
    <n v="20"/>
    <n v="6000"/>
    <n v="5250"/>
    <n v="750"/>
    <x v="1"/>
    <s v="Delivered"/>
    <x v="7"/>
    <s v="Q1"/>
    <n v="2025"/>
    <n v="0.125"/>
  </r>
  <r>
    <x v="900"/>
    <x v="79"/>
    <x v="8"/>
    <x v="58"/>
    <s v="P107"/>
    <x v="0"/>
    <x v="0"/>
    <x v="2"/>
    <x v="0"/>
    <n v="5"/>
    <n v="3500"/>
    <n v="10"/>
    <n v="15750"/>
    <n v="12250"/>
    <n v="3500"/>
    <x v="0"/>
    <s v="Delivered"/>
    <x v="6"/>
    <s v="Q2"/>
    <n v="2025"/>
    <n v="0.22222222222222221"/>
  </r>
  <r>
    <x v="901"/>
    <x v="106"/>
    <x v="0"/>
    <x v="30"/>
    <s v="P105"/>
    <x v="5"/>
    <x v="2"/>
    <x v="3"/>
    <x v="2"/>
    <n v="4"/>
    <n v="8500"/>
    <n v="10"/>
    <n v="30600"/>
    <n v="23800"/>
    <n v="6800"/>
    <x v="3"/>
    <s v="Returned"/>
    <x v="6"/>
    <s v="Q2"/>
    <n v="2025"/>
    <n v="0.22222222222222221"/>
  </r>
  <r>
    <x v="902"/>
    <x v="139"/>
    <x v="77"/>
    <x v="32"/>
    <s v="P104"/>
    <x v="7"/>
    <x v="2"/>
    <x v="3"/>
    <x v="1"/>
    <n v="1"/>
    <n v="4500"/>
    <n v="15"/>
    <n v="3825"/>
    <n v="3150"/>
    <n v="675"/>
    <x v="3"/>
    <s v="Pending"/>
    <x v="3"/>
    <s v="Q1"/>
    <n v="2025"/>
    <n v="0.17647058823529413"/>
  </r>
  <r>
    <x v="903"/>
    <x v="35"/>
    <x v="68"/>
    <x v="41"/>
    <s v="P103"/>
    <x v="6"/>
    <x v="0"/>
    <x v="1"/>
    <x v="3"/>
    <n v="6"/>
    <n v="1500"/>
    <n v="0"/>
    <n v="9000"/>
    <n v="6300"/>
    <n v="2700"/>
    <x v="1"/>
    <s v="Pending"/>
    <x v="0"/>
    <s v="Q4"/>
    <n v="2025"/>
    <n v="0.3"/>
  </r>
  <r>
    <x v="904"/>
    <x v="304"/>
    <x v="83"/>
    <x v="14"/>
    <s v="P102"/>
    <x v="1"/>
    <x v="0"/>
    <x v="1"/>
    <x v="0"/>
    <n v="9"/>
    <n v="800"/>
    <n v="10"/>
    <n v="6480"/>
    <n v="5040"/>
    <n v="1440"/>
    <x v="2"/>
    <s v="Returned"/>
    <x v="6"/>
    <s v="Q2"/>
    <n v="2025"/>
    <n v="0.22222222222222221"/>
  </r>
  <r>
    <x v="905"/>
    <x v="309"/>
    <x v="11"/>
    <x v="99"/>
    <s v="P105"/>
    <x v="5"/>
    <x v="2"/>
    <x v="2"/>
    <x v="1"/>
    <n v="7"/>
    <n v="8500"/>
    <n v="15"/>
    <n v="50575"/>
    <n v="41650"/>
    <n v="8925"/>
    <x v="0"/>
    <s v="Pending"/>
    <x v="11"/>
    <s v="Q3"/>
    <n v="2025"/>
    <n v="0.17647058823529413"/>
  </r>
  <r>
    <x v="906"/>
    <x v="244"/>
    <x v="11"/>
    <x v="43"/>
    <s v="P106"/>
    <x v="3"/>
    <x v="0"/>
    <x v="1"/>
    <x v="3"/>
    <n v="3"/>
    <n v="9500"/>
    <n v="10"/>
    <n v="25650"/>
    <n v="19950"/>
    <n v="5700"/>
    <x v="2"/>
    <s v="Pending"/>
    <x v="1"/>
    <s v="Q4"/>
    <n v="2025"/>
    <n v="0.22222222222222221"/>
  </r>
  <r>
    <x v="907"/>
    <x v="29"/>
    <x v="49"/>
    <x v="19"/>
    <s v="P101"/>
    <x v="2"/>
    <x v="0"/>
    <x v="3"/>
    <x v="3"/>
    <n v="3"/>
    <n v="55000"/>
    <n v="5"/>
    <n v="156750"/>
    <n v="115500"/>
    <n v="41250.000000000007"/>
    <x v="3"/>
    <s v="Pending"/>
    <x v="10"/>
    <s v="Q2"/>
    <n v="2025"/>
    <n v="0.26315789473684215"/>
  </r>
  <r>
    <x v="908"/>
    <x v="189"/>
    <x v="63"/>
    <x v="49"/>
    <s v="P104"/>
    <x v="7"/>
    <x v="2"/>
    <x v="2"/>
    <x v="3"/>
    <n v="8"/>
    <n v="4500"/>
    <n v="15"/>
    <n v="30600"/>
    <n v="25200"/>
    <n v="5400"/>
    <x v="3"/>
    <s v="Returned"/>
    <x v="5"/>
    <s v="Q3"/>
    <n v="2025"/>
    <n v="0.17647058823529413"/>
  </r>
  <r>
    <x v="909"/>
    <x v="38"/>
    <x v="69"/>
    <x v="8"/>
    <s v="P103"/>
    <x v="6"/>
    <x v="0"/>
    <x v="0"/>
    <x v="4"/>
    <n v="9"/>
    <n v="1500"/>
    <n v="10"/>
    <n v="12150"/>
    <n v="9450"/>
    <n v="2700"/>
    <x v="2"/>
    <s v="Delivered"/>
    <x v="4"/>
    <s v="Q4"/>
    <n v="2025"/>
    <n v="0.22222222222222221"/>
  </r>
  <r>
    <x v="910"/>
    <x v="205"/>
    <x v="10"/>
    <x v="40"/>
    <s v="P102"/>
    <x v="1"/>
    <x v="0"/>
    <x v="3"/>
    <x v="5"/>
    <n v="3"/>
    <n v="800"/>
    <n v="5"/>
    <n v="2280"/>
    <n v="1680"/>
    <n v="600"/>
    <x v="3"/>
    <s v="Returned"/>
    <x v="8"/>
    <s v="Q3"/>
    <n v="2025"/>
    <n v="0.26315789473684209"/>
  </r>
  <r>
    <x v="911"/>
    <x v="68"/>
    <x v="80"/>
    <x v="53"/>
    <s v="P102"/>
    <x v="1"/>
    <x v="0"/>
    <x v="3"/>
    <x v="3"/>
    <n v="8"/>
    <n v="800"/>
    <n v="0"/>
    <n v="6400"/>
    <n v="4480"/>
    <n v="1920"/>
    <x v="2"/>
    <s v="Pending"/>
    <x v="5"/>
    <s v="Q3"/>
    <n v="2025"/>
    <n v="0.3"/>
  </r>
  <r>
    <x v="912"/>
    <x v="310"/>
    <x v="15"/>
    <x v="81"/>
    <s v="P103"/>
    <x v="6"/>
    <x v="0"/>
    <x v="0"/>
    <x v="2"/>
    <n v="5"/>
    <n v="1500"/>
    <n v="5"/>
    <n v="7125"/>
    <n v="5250"/>
    <n v="1875"/>
    <x v="1"/>
    <s v="Pending"/>
    <x v="7"/>
    <s v="Q1"/>
    <n v="2025"/>
    <n v="0.26315789473684209"/>
  </r>
  <r>
    <x v="913"/>
    <x v="51"/>
    <x v="99"/>
    <x v="32"/>
    <s v="P102"/>
    <x v="1"/>
    <x v="0"/>
    <x v="2"/>
    <x v="4"/>
    <n v="4"/>
    <n v="800"/>
    <n v="5"/>
    <n v="3040"/>
    <n v="2240"/>
    <n v="800"/>
    <x v="3"/>
    <s v="Pending"/>
    <x v="4"/>
    <s v="Q4"/>
    <n v="2025"/>
    <n v="0.26315789473684209"/>
  </r>
  <r>
    <x v="914"/>
    <x v="236"/>
    <x v="3"/>
    <x v="70"/>
    <s v="P101"/>
    <x v="2"/>
    <x v="0"/>
    <x v="0"/>
    <x v="4"/>
    <n v="4"/>
    <n v="55000"/>
    <n v="5"/>
    <n v="209000"/>
    <n v="154000"/>
    <n v="55000"/>
    <x v="0"/>
    <s v="Pending"/>
    <x v="11"/>
    <s v="Q3"/>
    <n v="2025"/>
    <n v="0.26315789473684209"/>
  </r>
  <r>
    <x v="915"/>
    <x v="83"/>
    <x v="50"/>
    <x v="4"/>
    <s v="P101"/>
    <x v="2"/>
    <x v="0"/>
    <x v="3"/>
    <x v="2"/>
    <n v="1"/>
    <n v="55000"/>
    <n v="20"/>
    <n v="44000"/>
    <n v="38500"/>
    <n v="5500"/>
    <x v="3"/>
    <s v="Pending"/>
    <x v="9"/>
    <s v="Q1"/>
    <n v="2025"/>
    <n v="0.125"/>
  </r>
  <r>
    <x v="916"/>
    <x v="113"/>
    <x v="56"/>
    <x v="73"/>
    <s v="P107"/>
    <x v="0"/>
    <x v="0"/>
    <x v="2"/>
    <x v="5"/>
    <n v="5"/>
    <n v="3500"/>
    <n v="20"/>
    <n v="14000"/>
    <n v="12250"/>
    <n v="1750"/>
    <x v="3"/>
    <s v="Delivered"/>
    <x v="11"/>
    <s v="Q3"/>
    <n v="2025"/>
    <n v="0.125"/>
  </r>
  <r>
    <x v="917"/>
    <x v="136"/>
    <x v="43"/>
    <x v="95"/>
    <s v="P105"/>
    <x v="5"/>
    <x v="2"/>
    <x v="3"/>
    <x v="1"/>
    <n v="4"/>
    <n v="8500"/>
    <n v="15"/>
    <n v="28900"/>
    <n v="23800"/>
    <n v="5100"/>
    <x v="1"/>
    <s v="Pending"/>
    <x v="2"/>
    <s v="Q2"/>
    <n v="2025"/>
    <n v="0.17647058823529413"/>
  </r>
  <r>
    <x v="918"/>
    <x v="117"/>
    <x v="35"/>
    <x v="43"/>
    <s v="P105"/>
    <x v="5"/>
    <x v="2"/>
    <x v="3"/>
    <x v="2"/>
    <n v="6"/>
    <n v="8500"/>
    <n v="20"/>
    <n v="40800"/>
    <n v="35700"/>
    <n v="5100"/>
    <x v="1"/>
    <s v="Returned"/>
    <x v="1"/>
    <s v="Q4"/>
    <n v="2025"/>
    <n v="0.125"/>
  </r>
  <r>
    <x v="919"/>
    <x v="102"/>
    <x v="61"/>
    <x v="21"/>
    <s v="P101"/>
    <x v="2"/>
    <x v="0"/>
    <x v="3"/>
    <x v="0"/>
    <n v="3"/>
    <n v="55000"/>
    <n v="5"/>
    <n v="156750"/>
    <n v="115500"/>
    <n v="41250.000000000007"/>
    <x v="0"/>
    <s v="Pending"/>
    <x v="1"/>
    <s v="Q4"/>
    <n v="2025"/>
    <n v="0.26315789473684215"/>
  </r>
  <r>
    <x v="920"/>
    <x v="179"/>
    <x v="36"/>
    <x v="49"/>
    <s v="P101"/>
    <x v="2"/>
    <x v="0"/>
    <x v="1"/>
    <x v="2"/>
    <n v="10"/>
    <n v="55000"/>
    <n v="15"/>
    <n v="467500"/>
    <n v="385000"/>
    <n v="82500"/>
    <x v="0"/>
    <s v="Pending"/>
    <x v="6"/>
    <s v="Q2"/>
    <n v="2025"/>
    <n v="0.17647058823529413"/>
  </r>
  <r>
    <x v="921"/>
    <x v="202"/>
    <x v="45"/>
    <x v="39"/>
    <s v="P106"/>
    <x v="3"/>
    <x v="0"/>
    <x v="3"/>
    <x v="3"/>
    <n v="4"/>
    <n v="9500"/>
    <n v="5"/>
    <n v="36100"/>
    <n v="26600"/>
    <n v="9500"/>
    <x v="0"/>
    <s v="Pending"/>
    <x v="9"/>
    <s v="Q1"/>
    <n v="2025"/>
    <n v="0.26315789473684209"/>
  </r>
  <r>
    <x v="922"/>
    <x v="147"/>
    <x v="33"/>
    <x v="93"/>
    <s v="P107"/>
    <x v="0"/>
    <x v="0"/>
    <x v="0"/>
    <x v="2"/>
    <n v="4"/>
    <n v="3500"/>
    <n v="5"/>
    <n v="13300"/>
    <n v="9800"/>
    <n v="3500"/>
    <x v="3"/>
    <s v="Pending"/>
    <x v="6"/>
    <s v="Q2"/>
    <n v="2025"/>
    <n v="0.26315789473684209"/>
  </r>
  <r>
    <x v="923"/>
    <x v="248"/>
    <x v="99"/>
    <x v="93"/>
    <s v="P102"/>
    <x v="1"/>
    <x v="0"/>
    <x v="3"/>
    <x v="2"/>
    <n v="10"/>
    <n v="800"/>
    <n v="5"/>
    <n v="7600"/>
    <n v="5600"/>
    <n v="2000"/>
    <x v="1"/>
    <s v="Returned"/>
    <x v="11"/>
    <s v="Q3"/>
    <n v="2025"/>
    <n v="0.26315789473684209"/>
  </r>
  <r>
    <x v="924"/>
    <x v="328"/>
    <x v="60"/>
    <x v="64"/>
    <s v="P108"/>
    <x v="4"/>
    <x v="1"/>
    <x v="2"/>
    <x v="1"/>
    <n v="5"/>
    <n v="3200"/>
    <n v="0"/>
    <n v="16000"/>
    <n v="11200"/>
    <n v="4800"/>
    <x v="0"/>
    <s v="Returned"/>
    <x v="3"/>
    <s v="Q1"/>
    <n v="2025"/>
    <n v="0.3"/>
  </r>
  <r>
    <x v="925"/>
    <x v="332"/>
    <x v="71"/>
    <x v="5"/>
    <s v="P101"/>
    <x v="2"/>
    <x v="0"/>
    <x v="1"/>
    <x v="4"/>
    <n v="9"/>
    <n v="55000"/>
    <n v="0"/>
    <n v="495000"/>
    <n v="346500"/>
    <n v="148500"/>
    <x v="2"/>
    <s v="Pending"/>
    <x v="5"/>
    <s v="Q3"/>
    <n v="2025"/>
    <n v="0.3"/>
  </r>
  <r>
    <x v="926"/>
    <x v="188"/>
    <x v="13"/>
    <x v="55"/>
    <s v="P108"/>
    <x v="4"/>
    <x v="1"/>
    <x v="0"/>
    <x v="1"/>
    <n v="3"/>
    <n v="3200"/>
    <n v="20"/>
    <n v="7680"/>
    <n v="6720"/>
    <n v="960"/>
    <x v="2"/>
    <s v="Returned"/>
    <x v="9"/>
    <s v="Q1"/>
    <n v="2025"/>
    <n v="0.125"/>
  </r>
  <r>
    <x v="927"/>
    <x v="273"/>
    <x v="14"/>
    <x v="27"/>
    <s v="P101"/>
    <x v="2"/>
    <x v="0"/>
    <x v="0"/>
    <x v="4"/>
    <n v="10"/>
    <n v="55000"/>
    <n v="5"/>
    <n v="522500"/>
    <n v="385000"/>
    <n v="137500"/>
    <x v="0"/>
    <s v="Pending"/>
    <x v="7"/>
    <s v="Q1"/>
    <n v="2025"/>
    <n v="0.26315789473684209"/>
  </r>
  <r>
    <x v="928"/>
    <x v="333"/>
    <x v="77"/>
    <x v="39"/>
    <s v="P104"/>
    <x v="7"/>
    <x v="2"/>
    <x v="1"/>
    <x v="0"/>
    <n v="10"/>
    <n v="4500"/>
    <n v="10"/>
    <n v="40500"/>
    <n v="31500"/>
    <n v="9000.0000000000036"/>
    <x v="0"/>
    <s v="Delivered"/>
    <x v="11"/>
    <s v="Q3"/>
    <n v="2025"/>
    <n v="0.22222222222222232"/>
  </r>
  <r>
    <x v="929"/>
    <x v="99"/>
    <x v="7"/>
    <x v="95"/>
    <s v="P106"/>
    <x v="3"/>
    <x v="0"/>
    <x v="1"/>
    <x v="4"/>
    <n v="8"/>
    <n v="9500"/>
    <n v="0"/>
    <n v="76000"/>
    <n v="53200"/>
    <n v="22800"/>
    <x v="1"/>
    <s v="Pending"/>
    <x v="2"/>
    <s v="Q2"/>
    <n v="2025"/>
    <n v="0.3"/>
  </r>
  <r>
    <x v="930"/>
    <x v="286"/>
    <x v="81"/>
    <x v="84"/>
    <s v="P106"/>
    <x v="3"/>
    <x v="0"/>
    <x v="0"/>
    <x v="1"/>
    <n v="3"/>
    <n v="9500"/>
    <n v="10"/>
    <n v="25650"/>
    <n v="19950"/>
    <n v="5700"/>
    <x v="0"/>
    <s v="Delivered"/>
    <x v="9"/>
    <s v="Q1"/>
    <n v="2025"/>
    <n v="0.22222222222222221"/>
  </r>
  <r>
    <x v="931"/>
    <x v="150"/>
    <x v="84"/>
    <x v="60"/>
    <s v="P101"/>
    <x v="2"/>
    <x v="0"/>
    <x v="0"/>
    <x v="4"/>
    <n v="2"/>
    <n v="55000"/>
    <n v="20"/>
    <n v="88000"/>
    <n v="77000"/>
    <n v="11000"/>
    <x v="0"/>
    <s v="Delivered"/>
    <x v="1"/>
    <s v="Q4"/>
    <n v="2025"/>
    <n v="0.125"/>
  </r>
  <r>
    <x v="932"/>
    <x v="229"/>
    <x v="11"/>
    <x v="74"/>
    <s v="P102"/>
    <x v="1"/>
    <x v="0"/>
    <x v="1"/>
    <x v="2"/>
    <n v="6"/>
    <n v="800"/>
    <n v="10"/>
    <n v="4320"/>
    <n v="3360"/>
    <n v="960"/>
    <x v="1"/>
    <s v="Returned"/>
    <x v="8"/>
    <s v="Q3"/>
    <n v="2025"/>
    <n v="0.22222222222222221"/>
  </r>
  <r>
    <x v="933"/>
    <x v="30"/>
    <x v="23"/>
    <x v="16"/>
    <s v="P107"/>
    <x v="0"/>
    <x v="0"/>
    <x v="3"/>
    <x v="1"/>
    <n v="2"/>
    <n v="3500"/>
    <n v="15"/>
    <n v="5950"/>
    <n v="4900"/>
    <n v="1050"/>
    <x v="0"/>
    <s v="Pending"/>
    <x v="9"/>
    <s v="Q1"/>
    <n v="2025"/>
    <n v="0.17647058823529413"/>
  </r>
  <r>
    <x v="934"/>
    <x v="207"/>
    <x v="7"/>
    <x v="83"/>
    <s v="P106"/>
    <x v="3"/>
    <x v="0"/>
    <x v="1"/>
    <x v="5"/>
    <n v="6"/>
    <n v="9500"/>
    <n v="20"/>
    <n v="45600"/>
    <n v="39900"/>
    <n v="5700"/>
    <x v="3"/>
    <s v="Returned"/>
    <x v="1"/>
    <s v="Q4"/>
    <n v="2025"/>
    <n v="0.125"/>
  </r>
  <r>
    <x v="935"/>
    <x v="263"/>
    <x v="94"/>
    <x v="27"/>
    <s v="P106"/>
    <x v="3"/>
    <x v="0"/>
    <x v="3"/>
    <x v="1"/>
    <n v="9"/>
    <n v="9500"/>
    <n v="20"/>
    <n v="68400"/>
    <n v="59849.999999999993"/>
    <n v="8550.0000000000073"/>
    <x v="2"/>
    <s v="Pending"/>
    <x v="3"/>
    <s v="Q1"/>
    <n v="2025"/>
    <n v="0.12500000000000011"/>
  </r>
  <r>
    <x v="936"/>
    <x v="212"/>
    <x v="62"/>
    <x v="28"/>
    <s v="P105"/>
    <x v="5"/>
    <x v="2"/>
    <x v="1"/>
    <x v="4"/>
    <n v="5"/>
    <n v="8500"/>
    <n v="10"/>
    <n v="38250"/>
    <n v="29750"/>
    <n v="8500.0000000000036"/>
    <x v="1"/>
    <s v="Returned"/>
    <x v="9"/>
    <s v="Q1"/>
    <n v="2025"/>
    <n v="0.22222222222222232"/>
  </r>
  <r>
    <x v="937"/>
    <x v="334"/>
    <x v="5"/>
    <x v="30"/>
    <s v="P108"/>
    <x v="4"/>
    <x v="1"/>
    <x v="3"/>
    <x v="1"/>
    <n v="2"/>
    <n v="3200"/>
    <n v="20"/>
    <n v="5120"/>
    <n v="4480"/>
    <n v="640"/>
    <x v="3"/>
    <s v="Pending"/>
    <x v="11"/>
    <s v="Q3"/>
    <n v="2025"/>
    <n v="0.125"/>
  </r>
  <r>
    <x v="938"/>
    <x v="83"/>
    <x v="13"/>
    <x v="14"/>
    <s v="P108"/>
    <x v="4"/>
    <x v="1"/>
    <x v="3"/>
    <x v="0"/>
    <n v="9"/>
    <n v="3200"/>
    <n v="10"/>
    <n v="25920"/>
    <n v="20160"/>
    <n v="5760"/>
    <x v="3"/>
    <s v="Pending"/>
    <x v="9"/>
    <s v="Q1"/>
    <n v="2025"/>
    <n v="0.22222222222222221"/>
  </r>
  <r>
    <x v="939"/>
    <x v="27"/>
    <x v="80"/>
    <x v="66"/>
    <s v="P101"/>
    <x v="2"/>
    <x v="0"/>
    <x v="1"/>
    <x v="4"/>
    <n v="3"/>
    <n v="55000"/>
    <n v="10"/>
    <n v="148500"/>
    <n v="115500"/>
    <n v="33000.000000000007"/>
    <x v="1"/>
    <s v="Delivered"/>
    <x v="10"/>
    <s v="Q2"/>
    <n v="2025"/>
    <n v="0.22222222222222227"/>
  </r>
  <r>
    <x v="940"/>
    <x v="331"/>
    <x v="17"/>
    <x v="77"/>
    <s v="P102"/>
    <x v="1"/>
    <x v="0"/>
    <x v="1"/>
    <x v="2"/>
    <n v="10"/>
    <n v="800"/>
    <n v="15"/>
    <n v="6800"/>
    <n v="5600"/>
    <n v="1200"/>
    <x v="1"/>
    <s v="Pending"/>
    <x v="9"/>
    <s v="Q1"/>
    <n v="2025"/>
    <n v="0.17647058823529413"/>
  </r>
  <r>
    <x v="941"/>
    <x v="105"/>
    <x v="60"/>
    <x v="74"/>
    <s v="P102"/>
    <x v="1"/>
    <x v="0"/>
    <x v="3"/>
    <x v="1"/>
    <n v="3"/>
    <n v="800"/>
    <n v="20"/>
    <n v="1920"/>
    <n v="1680"/>
    <n v="240"/>
    <x v="2"/>
    <s v="Delivered"/>
    <x v="0"/>
    <s v="Q4"/>
    <n v="2025"/>
    <n v="0.125"/>
  </r>
  <r>
    <x v="942"/>
    <x v="310"/>
    <x v="57"/>
    <x v="60"/>
    <s v="P103"/>
    <x v="6"/>
    <x v="0"/>
    <x v="2"/>
    <x v="3"/>
    <n v="3"/>
    <n v="1500"/>
    <n v="10"/>
    <n v="4050"/>
    <n v="3150"/>
    <n v="900"/>
    <x v="2"/>
    <s v="Pending"/>
    <x v="7"/>
    <s v="Q1"/>
    <n v="2025"/>
    <n v="0.22222222222222221"/>
  </r>
  <r>
    <x v="943"/>
    <x v="147"/>
    <x v="37"/>
    <x v="24"/>
    <s v="P101"/>
    <x v="2"/>
    <x v="0"/>
    <x v="3"/>
    <x v="2"/>
    <n v="1"/>
    <n v="55000"/>
    <n v="5"/>
    <n v="52250"/>
    <n v="38500"/>
    <n v="13750"/>
    <x v="0"/>
    <s v="Returned"/>
    <x v="6"/>
    <s v="Q2"/>
    <n v="2025"/>
    <n v="0.26315789473684209"/>
  </r>
  <r>
    <x v="944"/>
    <x v="84"/>
    <x v="95"/>
    <x v="42"/>
    <s v="P106"/>
    <x v="3"/>
    <x v="0"/>
    <x v="0"/>
    <x v="3"/>
    <n v="9"/>
    <n v="9500"/>
    <n v="0"/>
    <n v="85500"/>
    <n v="59849.999999999993"/>
    <n v="25650.000000000011"/>
    <x v="1"/>
    <s v="Returned"/>
    <x v="11"/>
    <s v="Q3"/>
    <n v="2025"/>
    <n v="0.3000000000000001"/>
  </r>
  <r>
    <x v="945"/>
    <x v="46"/>
    <x v="1"/>
    <x v="71"/>
    <s v="P102"/>
    <x v="1"/>
    <x v="0"/>
    <x v="0"/>
    <x v="2"/>
    <n v="9"/>
    <n v="800"/>
    <n v="15"/>
    <n v="6120"/>
    <n v="5040"/>
    <n v="1080"/>
    <x v="1"/>
    <s v="Returned"/>
    <x v="9"/>
    <s v="Q1"/>
    <n v="2025"/>
    <n v="0.17647058823529413"/>
  </r>
  <r>
    <x v="946"/>
    <x v="85"/>
    <x v="78"/>
    <x v="9"/>
    <s v="P106"/>
    <x v="3"/>
    <x v="0"/>
    <x v="0"/>
    <x v="3"/>
    <n v="3"/>
    <n v="9500"/>
    <n v="20"/>
    <n v="22800"/>
    <n v="19950"/>
    <n v="2850"/>
    <x v="2"/>
    <s v="Delivered"/>
    <x v="4"/>
    <s v="Q4"/>
    <n v="2025"/>
    <n v="0.125"/>
  </r>
  <r>
    <x v="947"/>
    <x v="175"/>
    <x v="21"/>
    <x v="61"/>
    <s v="P101"/>
    <x v="2"/>
    <x v="0"/>
    <x v="1"/>
    <x v="3"/>
    <n v="5"/>
    <n v="55000"/>
    <n v="20"/>
    <n v="220000"/>
    <n v="192500"/>
    <n v="27500"/>
    <x v="1"/>
    <s v="Pending"/>
    <x v="1"/>
    <s v="Q4"/>
    <n v="2025"/>
    <n v="0.125"/>
  </r>
  <r>
    <x v="948"/>
    <x v="300"/>
    <x v="55"/>
    <x v="57"/>
    <s v="P104"/>
    <x v="7"/>
    <x v="2"/>
    <x v="2"/>
    <x v="2"/>
    <n v="5"/>
    <n v="4500"/>
    <n v="0"/>
    <n v="22500"/>
    <n v="15750"/>
    <n v="6750.0000000000018"/>
    <x v="2"/>
    <s v="Pending"/>
    <x v="3"/>
    <s v="Q1"/>
    <n v="2025"/>
    <n v="0.3000000000000001"/>
  </r>
  <r>
    <x v="949"/>
    <x v="334"/>
    <x v="38"/>
    <x v="41"/>
    <s v="P106"/>
    <x v="3"/>
    <x v="0"/>
    <x v="0"/>
    <x v="4"/>
    <n v="6"/>
    <n v="9500"/>
    <n v="20"/>
    <n v="45600"/>
    <n v="39900"/>
    <n v="5700"/>
    <x v="3"/>
    <s v="Delivered"/>
    <x v="11"/>
    <s v="Q3"/>
    <n v="2025"/>
    <n v="0.125"/>
  </r>
  <r>
    <x v="950"/>
    <x v="308"/>
    <x v="44"/>
    <x v="69"/>
    <s v="P106"/>
    <x v="3"/>
    <x v="0"/>
    <x v="3"/>
    <x v="5"/>
    <n v="9"/>
    <n v="9500"/>
    <n v="20"/>
    <n v="68400"/>
    <n v="59849.999999999993"/>
    <n v="8550.0000000000073"/>
    <x v="2"/>
    <s v="Returned"/>
    <x v="11"/>
    <s v="Q3"/>
    <n v="2025"/>
    <n v="0.12500000000000011"/>
  </r>
  <r>
    <x v="951"/>
    <x v="113"/>
    <x v="82"/>
    <x v="18"/>
    <s v="P107"/>
    <x v="0"/>
    <x v="0"/>
    <x v="0"/>
    <x v="3"/>
    <n v="1"/>
    <n v="3500"/>
    <n v="5"/>
    <n v="3325"/>
    <n v="2450"/>
    <n v="875"/>
    <x v="1"/>
    <s v="Pending"/>
    <x v="11"/>
    <s v="Q3"/>
    <n v="2025"/>
    <n v="0.26315789473684209"/>
  </r>
  <r>
    <x v="952"/>
    <x v="245"/>
    <x v="41"/>
    <x v="79"/>
    <s v="P103"/>
    <x v="6"/>
    <x v="0"/>
    <x v="3"/>
    <x v="4"/>
    <n v="8"/>
    <n v="1500"/>
    <n v="0"/>
    <n v="12000"/>
    <n v="8400"/>
    <n v="3600"/>
    <x v="0"/>
    <s v="Pending"/>
    <x v="8"/>
    <s v="Q3"/>
    <n v="2025"/>
    <n v="0.3"/>
  </r>
  <r>
    <x v="953"/>
    <x v="265"/>
    <x v="83"/>
    <x v="82"/>
    <s v="P104"/>
    <x v="7"/>
    <x v="2"/>
    <x v="0"/>
    <x v="4"/>
    <n v="1"/>
    <n v="4500"/>
    <n v="5"/>
    <n v="4275"/>
    <n v="3150"/>
    <n v="1125"/>
    <x v="3"/>
    <s v="Returned"/>
    <x v="3"/>
    <s v="Q1"/>
    <n v="2025"/>
    <n v="0.26315789473684209"/>
  </r>
  <r>
    <x v="954"/>
    <x v="238"/>
    <x v="87"/>
    <x v="74"/>
    <s v="P101"/>
    <x v="2"/>
    <x v="0"/>
    <x v="1"/>
    <x v="3"/>
    <n v="10"/>
    <n v="55000"/>
    <n v="15"/>
    <n v="467500"/>
    <n v="385000"/>
    <n v="82500"/>
    <x v="3"/>
    <s v="Delivered"/>
    <x v="2"/>
    <s v="Q2"/>
    <n v="2025"/>
    <n v="0.17647058823529413"/>
  </r>
  <r>
    <x v="955"/>
    <x v="186"/>
    <x v="6"/>
    <x v="18"/>
    <s v="P102"/>
    <x v="1"/>
    <x v="0"/>
    <x v="3"/>
    <x v="2"/>
    <n v="4"/>
    <n v="800"/>
    <n v="15"/>
    <n v="2720"/>
    <n v="2240"/>
    <n v="480"/>
    <x v="1"/>
    <s v="Delivered"/>
    <x v="3"/>
    <s v="Q1"/>
    <n v="2025"/>
    <n v="0.17647058823529413"/>
  </r>
  <r>
    <x v="956"/>
    <x v="156"/>
    <x v="46"/>
    <x v="76"/>
    <s v="P105"/>
    <x v="5"/>
    <x v="2"/>
    <x v="3"/>
    <x v="3"/>
    <n v="7"/>
    <n v="8500"/>
    <n v="10"/>
    <n v="53550"/>
    <n v="41650"/>
    <n v="11900"/>
    <x v="0"/>
    <s v="Pending"/>
    <x v="0"/>
    <s v="Q4"/>
    <n v="2025"/>
    <n v="0.22222222222222221"/>
  </r>
  <r>
    <x v="957"/>
    <x v="157"/>
    <x v="6"/>
    <x v="46"/>
    <s v="P104"/>
    <x v="7"/>
    <x v="2"/>
    <x v="0"/>
    <x v="3"/>
    <n v="2"/>
    <n v="4500"/>
    <n v="5"/>
    <n v="8550"/>
    <n v="6300"/>
    <n v="2250"/>
    <x v="1"/>
    <s v="Returned"/>
    <x v="6"/>
    <s v="Q2"/>
    <n v="2025"/>
    <n v="0.26315789473684209"/>
  </r>
  <r>
    <x v="958"/>
    <x v="307"/>
    <x v="46"/>
    <x v="64"/>
    <s v="P107"/>
    <x v="0"/>
    <x v="0"/>
    <x v="3"/>
    <x v="0"/>
    <n v="9"/>
    <n v="3500"/>
    <n v="10"/>
    <n v="28350"/>
    <n v="22050"/>
    <n v="6300"/>
    <x v="2"/>
    <s v="Pending"/>
    <x v="3"/>
    <s v="Q1"/>
    <n v="2025"/>
    <n v="0.22222222222222221"/>
  </r>
  <r>
    <x v="959"/>
    <x v="299"/>
    <x v="95"/>
    <x v="2"/>
    <s v="P102"/>
    <x v="1"/>
    <x v="0"/>
    <x v="0"/>
    <x v="1"/>
    <n v="10"/>
    <n v="800"/>
    <n v="10"/>
    <n v="7200"/>
    <n v="5600"/>
    <n v="1600"/>
    <x v="0"/>
    <s v="Delivered"/>
    <x v="4"/>
    <s v="Q4"/>
    <n v="2025"/>
    <n v="0.22222222222222221"/>
  </r>
  <r>
    <x v="960"/>
    <x v="30"/>
    <x v="67"/>
    <x v="24"/>
    <s v="P103"/>
    <x v="6"/>
    <x v="0"/>
    <x v="0"/>
    <x v="5"/>
    <n v="8"/>
    <n v="1500"/>
    <n v="15"/>
    <n v="10200"/>
    <n v="8400"/>
    <n v="1800"/>
    <x v="0"/>
    <s v="Delivered"/>
    <x v="9"/>
    <s v="Q1"/>
    <n v="2025"/>
    <n v="0.17647058823529413"/>
  </r>
  <r>
    <x v="961"/>
    <x v="196"/>
    <x v="21"/>
    <x v="82"/>
    <s v="P102"/>
    <x v="1"/>
    <x v="0"/>
    <x v="2"/>
    <x v="0"/>
    <n v="6"/>
    <n v="800"/>
    <n v="0"/>
    <n v="4800"/>
    <n v="3360"/>
    <n v="1440"/>
    <x v="0"/>
    <s v="Pending"/>
    <x v="5"/>
    <s v="Q3"/>
    <n v="2025"/>
    <n v="0.3"/>
  </r>
  <r>
    <x v="962"/>
    <x v="137"/>
    <x v="79"/>
    <x v="20"/>
    <s v="P104"/>
    <x v="7"/>
    <x v="2"/>
    <x v="0"/>
    <x v="4"/>
    <n v="10"/>
    <n v="4500"/>
    <n v="20"/>
    <n v="36000"/>
    <n v="31500"/>
    <n v="4500.0000000000036"/>
    <x v="1"/>
    <s v="Returned"/>
    <x v="5"/>
    <s v="Q3"/>
    <n v="2025"/>
    <n v="0.12500000000000011"/>
  </r>
  <r>
    <x v="963"/>
    <x v="335"/>
    <x v="95"/>
    <x v="54"/>
    <s v="P103"/>
    <x v="6"/>
    <x v="0"/>
    <x v="3"/>
    <x v="5"/>
    <n v="7"/>
    <n v="1500"/>
    <n v="5"/>
    <n v="9975"/>
    <n v="7349.9999999999991"/>
    <n v="2625.0000000000009"/>
    <x v="1"/>
    <s v="Pending"/>
    <x v="0"/>
    <s v="Q4"/>
    <n v="2025"/>
    <n v="0.2631578947368422"/>
  </r>
  <r>
    <x v="964"/>
    <x v="54"/>
    <x v="94"/>
    <x v="79"/>
    <s v="P102"/>
    <x v="1"/>
    <x v="0"/>
    <x v="3"/>
    <x v="5"/>
    <n v="1"/>
    <n v="800"/>
    <n v="15"/>
    <n v="680"/>
    <n v="560"/>
    <n v="120"/>
    <x v="1"/>
    <s v="Delivered"/>
    <x v="10"/>
    <s v="Q2"/>
    <n v="2025"/>
    <n v="0.17647058823529413"/>
  </r>
  <r>
    <x v="965"/>
    <x v="231"/>
    <x v="66"/>
    <x v="49"/>
    <s v="P108"/>
    <x v="4"/>
    <x v="1"/>
    <x v="1"/>
    <x v="3"/>
    <n v="6"/>
    <n v="3200"/>
    <n v="5"/>
    <n v="18240"/>
    <n v="13440"/>
    <n v="4800"/>
    <x v="3"/>
    <s v="Pending"/>
    <x v="2"/>
    <s v="Q2"/>
    <n v="2025"/>
    <n v="0.26315789473684209"/>
  </r>
  <r>
    <x v="966"/>
    <x v="241"/>
    <x v="12"/>
    <x v="52"/>
    <s v="P108"/>
    <x v="4"/>
    <x v="1"/>
    <x v="2"/>
    <x v="4"/>
    <n v="10"/>
    <n v="3200"/>
    <n v="20"/>
    <n v="25600"/>
    <n v="22400"/>
    <n v="3200"/>
    <x v="1"/>
    <s v="Pending"/>
    <x v="11"/>
    <s v="Q3"/>
    <n v="2025"/>
    <n v="0.125"/>
  </r>
  <r>
    <x v="967"/>
    <x v="143"/>
    <x v="64"/>
    <x v="92"/>
    <s v="P106"/>
    <x v="3"/>
    <x v="0"/>
    <x v="0"/>
    <x v="3"/>
    <n v="3"/>
    <n v="9500"/>
    <n v="15"/>
    <n v="24225"/>
    <n v="19950"/>
    <n v="4275"/>
    <x v="0"/>
    <s v="Delivered"/>
    <x v="3"/>
    <s v="Q1"/>
    <n v="2025"/>
    <n v="0.17647058823529413"/>
  </r>
  <r>
    <x v="968"/>
    <x v="111"/>
    <x v="86"/>
    <x v="62"/>
    <s v="P108"/>
    <x v="4"/>
    <x v="1"/>
    <x v="1"/>
    <x v="2"/>
    <n v="7"/>
    <n v="3200"/>
    <n v="5"/>
    <n v="21280"/>
    <n v="15680"/>
    <n v="5600.0000000000018"/>
    <x v="1"/>
    <s v="Delivered"/>
    <x v="8"/>
    <s v="Q3"/>
    <n v="2025"/>
    <n v="0.2631578947368422"/>
  </r>
  <r>
    <x v="969"/>
    <x v="285"/>
    <x v="7"/>
    <x v="58"/>
    <s v="P101"/>
    <x v="2"/>
    <x v="0"/>
    <x v="3"/>
    <x v="2"/>
    <n v="10"/>
    <n v="55000"/>
    <n v="5"/>
    <n v="522500"/>
    <n v="385000"/>
    <n v="137500"/>
    <x v="0"/>
    <s v="Pending"/>
    <x v="5"/>
    <s v="Q3"/>
    <n v="2025"/>
    <n v="0.26315789473684209"/>
  </r>
  <r>
    <x v="970"/>
    <x v="253"/>
    <x v="48"/>
    <x v="46"/>
    <s v="P107"/>
    <x v="0"/>
    <x v="0"/>
    <x v="2"/>
    <x v="0"/>
    <n v="3"/>
    <n v="3500"/>
    <n v="0"/>
    <n v="10500"/>
    <n v="7349.9999999999991"/>
    <n v="3150.0000000000009"/>
    <x v="3"/>
    <s v="Delivered"/>
    <x v="11"/>
    <s v="Q3"/>
    <n v="2025"/>
    <n v="0.3000000000000001"/>
  </r>
  <r>
    <x v="971"/>
    <x v="3"/>
    <x v="61"/>
    <x v="3"/>
    <s v="P105"/>
    <x v="5"/>
    <x v="2"/>
    <x v="0"/>
    <x v="1"/>
    <n v="6"/>
    <n v="8500"/>
    <n v="0"/>
    <n v="51000"/>
    <n v="35700"/>
    <n v="15300"/>
    <x v="0"/>
    <s v="Pending"/>
    <x v="3"/>
    <s v="Q1"/>
    <n v="2025"/>
    <n v="0.3"/>
  </r>
  <r>
    <x v="972"/>
    <x v="265"/>
    <x v="7"/>
    <x v="63"/>
    <s v="P102"/>
    <x v="1"/>
    <x v="0"/>
    <x v="2"/>
    <x v="2"/>
    <n v="3"/>
    <n v="800"/>
    <n v="15"/>
    <n v="2040"/>
    <n v="1680"/>
    <n v="360"/>
    <x v="2"/>
    <s v="Pending"/>
    <x v="3"/>
    <s v="Q1"/>
    <n v="2025"/>
    <n v="0.17647058823529413"/>
  </r>
  <r>
    <x v="973"/>
    <x v="271"/>
    <x v="55"/>
    <x v="25"/>
    <s v="P101"/>
    <x v="2"/>
    <x v="0"/>
    <x v="3"/>
    <x v="2"/>
    <n v="4"/>
    <n v="55000"/>
    <n v="10"/>
    <n v="198000"/>
    <n v="154000"/>
    <n v="44000"/>
    <x v="3"/>
    <s v="Returned"/>
    <x v="8"/>
    <s v="Q3"/>
    <n v="2025"/>
    <n v="0.22222222222222221"/>
  </r>
  <r>
    <x v="974"/>
    <x v="217"/>
    <x v="33"/>
    <x v="46"/>
    <s v="P104"/>
    <x v="7"/>
    <x v="2"/>
    <x v="0"/>
    <x v="3"/>
    <n v="6"/>
    <n v="4500"/>
    <n v="0"/>
    <n v="27000"/>
    <n v="18900"/>
    <n v="8100"/>
    <x v="3"/>
    <s v="Delivered"/>
    <x v="8"/>
    <s v="Q3"/>
    <n v="2025"/>
    <n v="0.3"/>
  </r>
  <r>
    <x v="975"/>
    <x v="315"/>
    <x v="37"/>
    <x v="58"/>
    <s v="P108"/>
    <x v="4"/>
    <x v="1"/>
    <x v="3"/>
    <x v="0"/>
    <n v="9"/>
    <n v="3200"/>
    <n v="0"/>
    <n v="28800"/>
    <n v="20160"/>
    <n v="8640"/>
    <x v="0"/>
    <s v="Delivered"/>
    <x v="4"/>
    <s v="Q4"/>
    <n v="2025"/>
    <n v="0.3"/>
  </r>
  <r>
    <x v="976"/>
    <x v="0"/>
    <x v="70"/>
    <x v="84"/>
    <s v="P106"/>
    <x v="3"/>
    <x v="0"/>
    <x v="1"/>
    <x v="5"/>
    <n v="3"/>
    <n v="9500"/>
    <n v="20"/>
    <n v="22800"/>
    <n v="19950"/>
    <n v="2850"/>
    <x v="2"/>
    <s v="Delivered"/>
    <x v="0"/>
    <s v="Q4"/>
    <n v="2025"/>
    <n v="0.125"/>
  </r>
  <r>
    <x v="977"/>
    <x v="203"/>
    <x v="51"/>
    <x v="89"/>
    <s v="P101"/>
    <x v="2"/>
    <x v="0"/>
    <x v="0"/>
    <x v="5"/>
    <n v="2"/>
    <n v="55000"/>
    <n v="0"/>
    <n v="110000"/>
    <n v="77000"/>
    <n v="33000"/>
    <x v="1"/>
    <s v="Returned"/>
    <x v="10"/>
    <s v="Q2"/>
    <n v="2025"/>
    <n v="0.3"/>
  </r>
  <r>
    <x v="978"/>
    <x v="57"/>
    <x v="2"/>
    <x v="10"/>
    <s v="P103"/>
    <x v="6"/>
    <x v="0"/>
    <x v="3"/>
    <x v="4"/>
    <n v="2"/>
    <n v="1500"/>
    <n v="15"/>
    <n v="2550"/>
    <n v="2100"/>
    <n v="450"/>
    <x v="0"/>
    <s v="Returned"/>
    <x v="11"/>
    <s v="Q3"/>
    <n v="2025"/>
    <n v="0.17647058823529413"/>
  </r>
  <r>
    <x v="979"/>
    <x v="202"/>
    <x v="86"/>
    <x v="64"/>
    <s v="P106"/>
    <x v="3"/>
    <x v="0"/>
    <x v="3"/>
    <x v="4"/>
    <n v="7"/>
    <n v="9500"/>
    <n v="5"/>
    <n v="63175"/>
    <n v="46550"/>
    <n v="16625"/>
    <x v="1"/>
    <s v="Pending"/>
    <x v="9"/>
    <s v="Q1"/>
    <n v="2025"/>
    <n v="0.26315789473684209"/>
  </r>
  <r>
    <x v="980"/>
    <x v="172"/>
    <x v="66"/>
    <x v="9"/>
    <s v="P105"/>
    <x v="5"/>
    <x v="2"/>
    <x v="3"/>
    <x v="5"/>
    <n v="1"/>
    <n v="8500"/>
    <n v="5"/>
    <n v="8075"/>
    <n v="5950"/>
    <n v="2125"/>
    <x v="1"/>
    <s v="Returned"/>
    <x v="4"/>
    <s v="Q4"/>
    <n v="2025"/>
    <n v="0.26315789473684209"/>
  </r>
  <r>
    <x v="981"/>
    <x v="336"/>
    <x v="65"/>
    <x v="75"/>
    <s v="P107"/>
    <x v="0"/>
    <x v="0"/>
    <x v="2"/>
    <x v="2"/>
    <n v="8"/>
    <n v="3500"/>
    <n v="5"/>
    <n v="26600"/>
    <n v="19600"/>
    <n v="7000"/>
    <x v="0"/>
    <s v="Delivered"/>
    <x v="8"/>
    <s v="Q3"/>
    <n v="2025"/>
    <n v="0.26315789473684209"/>
  </r>
  <r>
    <x v="982"/>
    <x v="260"/>
    <x v="21"/>
    <x v="43"/>
    <s v="P101"/>
    <x v="2"/>
    <x v="0"/>
    <x v="3"/>
    <x v="5"/>
    <n v="4"/>
    <n v="55000"/>
    <n v="10"/>
    <n v="198000"/>
    <n v="154000"/>
    <n v="44000"/>
    <x v="3"/>
    <s v="Delivered"/>
    <x v="9"/>
    <s v="Q1"/>
    <n v="2025"/>
    <n v="0.22222222222222221"/>
  </r>
  <r>
    <x v="983"/>
    <x v="46"/>
    <x v="8"/>
    <x v="76"/>
    <s v="P105"/>
    <x v="5"/>
    <x v="2"/>
    <x v="1"/>
    <x v="5"/>
    <n v="5"/>
    <n v="8500"/>
    <n v="15"/>
    <n v="36125"/>
    <n v="29750"/>
    <n v="6375.0000000000036"/>
    <x v="3"/>
    <s v="Delivered"/>
    <x v="9"/>
    <s v="Q1"/>
    <n v="2025"/>
    <n v="0.17647058823529421"/>
  </r>
  <r>
    <x v="984"/>
    <x v="330"/>
    <x v="14"/>
    <x v="51"/>
    <s v="P102"/>
    <x v="1"/>
    <x v="0"/>
    <x v="0"/>
    <x v="0"/>
    <n v="1"/>
    <n v="800"/>
    <n v="10"/>
    <n v="720"/>
    <n v="560"/>
    <n v="160"/>
    <x v="1"/>
    <s v="Pending"/>
    <x v="3"/>
    <s v="Q1"/>
    <n v="2025"/>
    <n v="0.22222222222222221"/>
  </r>
  <r>
    <x v="985"/>
    <x v="217"/>
    <x v="34"/>
    <x v="25"/>
    <s v="P107"/>
    <x v="0"/>
    <x v="0"/>
    <x v="0"/>
    <x v="3"/>
    <n v="9"/>
    <n v="3500"/>
    <n v="0"/>
    <n v="31500"/>
    <n v="22050"/>
    <n v="9450"/>
    <x v="2"/>
    <s v="Delivered"/>
    <x v="8"/>
    <s v="Q3"/>
    <n v="2025"/>
    <n v="0.3"/>
  </r>
  <r>
    <x v="986"/>
    <x v="1"/>
    <x v="27"/>
    <x v="27"/>
    <s v="P104"/>
    <x v="7"/>
    <x v="2"/>
    <x v="1"/>
    <x v="4"/>
    <n v="2"/>
    <n v="4500"/>
    <n v="5"/>
    <n v="8550"/>
    <n v="6300"/>
    <n v="2250"/>
    <x v="0"/>
    <s v="Pending"/>
    <x v="1"/>
    <s v="Q4"/>
    <n v="2025"/>
    <n v="0.26315789473684209"/>
  </r>
  <r>
    <x v="987"/>
    <x v="67"/>
    <x v="20"/>
    <x v="3"/>
    <s v="P104"/>
    <x v="7"/>
    <x v="2"/>
    <x v="1"/>
    <x v="0"/>
    <n v="2"/>
    <n v="4500"/>
    <n v="20"/>
    <n v="7200"/>
    <n v="6300"/>
    <n v="900"/>
    <x v="0"/>
    <s v="Delivered"/>
    <x v="0"/>
    <s v="Q4"/>
    <n v="2025"/>
    <n v="0.125"/>
  </r>
  <r>
    <x v="988"/>
    <x v="279"/>
    <x v="7"/>
    <x v="45"/>
    <s v="P106"/>
    <x v="3"/>
    <x v="0"/>
    <x v="0"/>
    <x v="0"/>
    <n v="5"/>
    <n v="9500"/>
    <n v="10"/>
    <n v="42750"/>
    <n v="33250"/>
    <n v="9500"/>
    <x v="2"/>
    <s v="Pending"/>
    <x v="6"/>
    <s v="Q2"/>
    <n v="2025"/>
    <n v="0.22222222222222221"/>
  </r>
  <r>
    <x v="989"/>
    <x v="218"/>
    <x v="51"/>
    <x v="76"/>
    <s v="P105"/>
    <x v="5"/>
    <x v="2"/>
    <x v="3"/>
    <x v="3"/>
    <n v="9"/>
    <n v="8500"/>
    <n v="10"/>
    <n v="68850"/>
    <n v="53550"/>
    <n v="15300"/>
    <x v="2"/>
    <s v="Delivered"/>
    <x v="10"/>
    <s v="Q2"/>
    <n v="2025"/>
    <n v="0.22222222222222221"/>
  </r>
  <r>
    <x v="990"/>
    <x v="161"/>
    <x v="5"/>
    <x v="69"/>
    <s v="P105"/>
    <x v="5"/>
    <x v="2"/>
    <x v="2"/>
    <x v="1"/>
    <n v="7"/>
    <n v="8500"/>
    <n v="15"/>
    <n v="50575"/>
    <n v="41650"/>
    <n v="8925"/>
    <x v="3"/>
    <s v="Delivered"/>
    <x v="0"/>
    <s v="Q4"/>
    <n v="2025"/>
    <n v="0.17647058823529413"/>
  </r>
  <r>
    <x v="991"/>
    <x v="306"/>
    <x v="15"/>
    <x v="78"/>
    <s v="P103"/>
    <x v="6"/>
    <x v="0"/>
    <x v="0"/>
    <x v="3"/>
    <n v="4"/>
    <n v="1500"/>
    <n v="20"/>
    <n v="4800"/>
    <n v="4200"/>
    <n v="600"/>
    <x v="2"/>
    <s v="Pending"/>
    <x v="5"/>
    <s v="Q3"/>
    <n v="2025"/>
    <n v="0.125"/>
  </r>
  <r>
    <x v="992"/>
    <x v="226"/>
    <x v="54"/>
    <x v="75"/>
    <s v="P103"/>
    <x v="6"/>
    <x v="0"/>
    <x v="2"/>
    <x v="4"/>
    <n v="6"/>
    <n v="1500"/>
    <n v="5"/>
    <n v="8550"/>
    <n v="6300"/>
    <n v="2250"/>
    <x v="2"/>
    <s v="Delivered"/>
    <x v="2"/>
    <s v="Q2"/>
    <n v="2025"/>
    <n v="0.26315789473684209"/>
  </r>
  <r>
    <x v="993"/>
    <x v="283"/>
    <x v="56"/>
    <x v="62"/>
    <s v="P105"/>
    <x v="5"/>
    <x v="2"/>
    <x v="2"/>
    <x v="5"/>
    <n v="5"/>
    <n v="8500"/>
    <n v="5"/>
    <n v="40375"/>
    <n v="29750"/>
    <n v="10625"/>
    <x v="3"/>
    <s v="Returned"/>
    <x v="9"/>
    <s v="Q1"/>
    <n v="2025"/>
    <n v="0.26315789473684209"/>
  </r>
  <r>
    <x v="994"/>
    <x v="223"/>
    <x v="26"/>
    <x v="42"/>
    <s v="P103"/>
    <x v="6"/>
    <x v="0"/>
    <x v="0"/>
    <x v="1"/>
    <n v="7"/>
    <n v="1500"/>
    <n v="5"/>
    <n v="9975"/>
    <n v="7349.9999999999991"/>
    <n v="2625.0000000000009"/>
    <x v="1"/>
    <s v="Returned"/>
    <x v="10"/>
    <s v="Q2"/>
    <n v="2025"/>
    <n v="0.2631578947368422"/>
  </r>
  <r>
    <x v="995"/>
    <x v="337"/>
    <x v="35"/>
    <x v="95"/>
    <s v="P104"/>
    <x v="7"/>
    <x v="2"/>
    <x v="0"/>
    <x v="5"/>
    <n v="2"/>
    <n v="4500"/>
    <n v="10"/>
    <n v="8100"/>
    <n v="6300"/>
    <n v="1800"/>
    <x v="0"/>
    <s v="Pending"/>
    <x v="4"/>
    <s v="Q4"/>
    <n v="2025"/>
    <n v="0.22222222222222221"/>
  </r>
  <r>
    <x v="996"/>
    <x v="220"/>
    <x v="40"/>
    <x v="21"/>
    <s v="P104"/>
    <x v="7"/>
    <x v="2"/>
    <x v="3"/>
    <x v="0"/>
    <n v="8"/>
    <n v="4500"/>
    <n v="5"/>
    <n v="34200"/>
    <n v="25200"/>
    <n v="9000"/>
    <x v="1"/>
    <s v="Delivered"/>
    <x v="7"/>
    <s v="Q1"/>
    <n v="2025"/>
    <n v="0.26315789473684209"/>
  </r>
  <r>
    <x v="997"/>
    <x v="292"/>
    <x v="71"/>
    <x v="42"/>
    <s v="P101"/>
    <x v="2"/>
    <x v="0"/>
    <x v="0"/>
    <x v="3"/>
    <n v="3"/>
    <n v="55000"/>
    <n v="5"/>
    <n v="156750"/>
    <n v="115500"/>
    <n v="41250.000000000007"/>
    <x v="1"/>
    <s v="Pending"/>
    <x v="1"/>
    <s v="Q4"/>
    <n v="2025"/>
    <n v="0.26315789473684215"/>
  </r>
  <r>
    <x v="998"/>
    <x v="232"/>
    <x v="47"/>
    <x v="32"/>
    <s v="P102"/>
    <x v="1"/>
    <x v="0"/>
    <x v="3"/>
    <x v="5"/>
    <n v="9"/>
    <n v="800"/>
    <n v="20"/>
    <n v="5760"/>
    <n v="5040"/>
    <n v="720"/>
    <x v="0"/>
    <s v="Pending"/>
    <x v="10"/>
    <s v="Q2"/>
    <n v="2025"/>
    <n v="0.125"/>
  </r>
  <r>
    <x v="999"/>
    <x v="17"/>
    <x v="90"/>
    <x v="35"/>
    <s v="P101"/>
    <x v="2"/>
    <x v="0"/>
    <x v="2"/>
    <x v="0"/>
    <n v="8"/>
    <n v="55000"/>
    <n v="0"/>
    <n v="440000"/>
    <n v="308000"/>
    <n v="132000"/>
    <x v="0"/>
    <s v="Delivered"/>
    <x v="7"/>
    <s v="Q1"/>
    <n v="202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1" firstHeaderRow="1" firstDataRow="1" firstDataCol="1"/>
  <pivotFields count="23">
    <pivotField showAll="0"/>
    <pivotField numFmtId="14" showAll="0">
      <items count="339">
        <item x="89"/>
        <item x="139"/>
        <item x="180"/>
        <item x="194"/>
        <item x="330"/>
        <item x="199"/>
        <item x="80"/>
        <item x="307"/>
        <item x="187"/>
        <item x="210"/>
        <item x="3"/>
        <item x="100"/>
        <item x="230"/>
        <item x="263"/>
        <item x="168"/>
        <item x="132"/>
        <item x="143"/>
        <item x="328"/>
        <item x="130"/>
        <item x="201"/>
        <item x="265"/>
        <item x="258"/>
        <item x="8"/>
        <item x="186"/>
        <item x="49"/>
        <item x="247"/>
        <item x="313"/>
        <item x="184"/>
        <item x="300"/>
        <item x="11"/>
        <item x="327"/>
        <item x="50"/>
        <item x="20"/>
        <item x="303"/>
        <item x="91"/>
        <item x="220"/>
        <item x="129"/>
        <item x="39"/>
        <item x="310"/>
        <item x="257"/>
        <item x="273"/>
        <item x="204"/>
        <item x="178"/>
        <item x="86"/>
        <item x="88"/>
        <item x="17"/>
        <item x="56"/>
        <item x="14"/>
        <item x="135"/>
        <item x="41"/>
        <item x="144"/>
        <item x="162"/>
        <item x="291"/>
        <item x="21"/>
        <item x="19"/>
        <item x="319"/>
        <item x="195"/>
        <item x="28"/>
        <item x="46"/>
        <item x="83"/>
        <item x="66"/>
        <item x="293"/>
        <item x="188"/>
        <item x="240"/>
        <item x="211"/>
        <item x="212"/>
        <item x="331"/>
        <item x="269"/>
        <item x="122"/>
        <item x="30"/>
        <item x="131"/>
        <item x="283"/>
        <item x="243"/>
        <item x="36"/>
        <item x="284"/>
        <item x="255"/>
        <item x="121"/>
        <item x="260"/>
        <item x="173"/>
        <item x="60"/>
        <item x="202"/>
        <item x="25"/>
        <item x="190"/>
        <item x="286"/>
        <item x="206"/>
        <item x="73"/>
        <item x="193"/>
        <item x="79"/>
        <item x="165"/>
        <item x="64"/>
        <item x="106"/>
        <item x="133"/>
        <item x="305"/>
        <item x="179"/>
        <item x="234"/>
        <item x="304"/>
        <item x="90"/>
        <item x="289"/>
        <item x="158"/>
        <item x="277"/>
        <item x="147"/>
        <item x="311"/>
        <item x="280"/>
        <item x="157"/>
        <item x="69"/>
        <item x="63"/>
        <item x="249"/>
        <item x="138"/>
        <item x="10"/>
        <item x="239"/>
        <item x="209"/>
        <item x="252"/>
        <item x="44"/>
        <item x="279"/>
        <item x="34"/>
        <item x="123"/>
        <item x="278"/>
        <item x="231"/>
        <item x="141"/>
        <item x="237"/>
        <item x="302"/>
        <item x="24"/>
        <item x="191"/>
        <item x="153"/>
        <item x="2"/>
        <item x="317"/>
        <item x="48"/>
        <item x="276"/>
        <item x="274"/>
        <item x="275"/>
        <item x="295"/>
        <item x="149"/>
        <item x="55"/>
        <item x="238"/>
        <item x="256"/>
        <item x="99"/>
        <item x="76"/>
        <item x="287"/>
        <item x="40"/>
        <item x="136"/>
        <item x="261"/>
        <item x="6"/>
        <item x="226"/>
        <item x="110"/>
        <item x="322"/>
        <item x="326"/>
        <item x="203"/>
        <item x="314"/>
        <item x="268"/>
        <item x="52"/>
        <item x="29"/>
        <item x="32"/>
        <item x="72"/>
        <item x="96"/>
        <item x="98"/>
        <item x="45"/>
        <item x="33"/>
        <item x="232"/>
        <item x="197"/>
        <item x="171"/>
        <item x="223"/>
        <item x="94"/>
        <item x="95"/>
        <item x="116"/>
        <item x="272"/>
        <item x="120"/>
        <item x="218"/>
        <item x="27"/>
        <item x="154"/>
        <item x="224"/>
        <item x="54"/>
        <item x="77"/>
        <item x="177"/>
        <item x="87"/>
        <item x="13"/>
        <item x="166"/>
        <item x="124"/>
        <item x="312"/>
        <item x="294"/>
        <item x="196"/>
        <item x="103"/>
        <item x="68"/>
        <item x="118"/>
        <item x="189"/>
        <item x="167"/>
        <item x="146"/>
        <item x="332"/>
        <item x="125"/>
        <item x="137"/>
        <item x="7"/>
        <item x="174"/>
        <item x="59"/>
        <item x="92"/>
        <item x="306"/>
        <item x="119"/>
        <item x="93"/>
        <item x="251"/>
        <item x="285"/>
        <item x="324"/>
        <item x="227"/>
        <item x="241"/>
        <item x="127"/>
        <item x="296"/>
        <item x="253"/>
        <item x="248"/>
        <item x="145"/>
        <item x="182"/>
        <item x="270"/>
        <item x="112"/>
        <item x="113"/>
        <item x="262"/>
        <item x="333"/>
        <item x="281"/>
        <item x="57"/>
        <item x="334"/>
        <item x="246"/>
        <item x="309"/>
        <item x="236"/>
        <item x="320"/>
        <item x="84"/>
        <item x="282"/>
        <item x="264"/>
        <item x="164"/>
        <item x="152"/>
        <item x="308"/>
        <item x="53"/>
        <item x="169"/>
        <item x="266"/>
        <item x="267"/>
        <item x="318"/>
        <item x="245"/>
        <item x="15"/>
        <item x="115"/>
        <item x="107"/>
        <item x="221"/>
        <item x="229"/>
        <item x="71"/>
        <item x="271"/>
        <item x="151"/>
        <item x="78"/>
        <item x="111"/>
        <item x="323"/>
        <item x="298"/>
        <item x="205"/>
        <item x="181"/>
        <item x="216"/>
        <item x="325"/>
        <item x="336"/>
        <item x="70"/>
        <item x="81"/>
        <item x="31"/>
        <item x="217"/>
        <item x="292"/>
        <item x="1"/>
        <item x="175"/>
        <item x="140"/>
        <item x="16"/>
        <item x="109"/>
        <item x="134"/>
        <item x="155"/>
        <item x="117"/>
        <item x="185"/>
        <item x="26"/>
        <item x="12"/>
        <item x="208"/>
        <item x="150"/>
        <item x="114"/>
        <item x="183"/>
        <item x="23"/>
        <item x="104"/>
        <item x="228"/>
        <item x="102"/>
        <item x="207"/>
        <item x="159"/>
        <item x="108"/>
        <item x="82"/>
        <item x="321"/>
        <item x="244"/>
        <item x="62"/>
        <item x="290"/>
        <item x="160"/>
        <item x="37"/>
        <item x="65"/>
        <item x="297"/>
        <item x="156"/>
        <item x="213"/>
        <item x="4"/>
        <item x="9"/>
        <item x="126"/>
        <item x="0"/>
        <item x="74"/>
        <item x="219"/>
        <item x="335"/>
        <item x="198"/>
        <item x="97"/>
        <item x="200"/>
        <item x="142"/>
        <item x="101"/>
        <item x="22"/>
        <item x="176"/>
        <item x="58"/>
        <item x="301"/>
        <item x="75"/>
        <item x="67"/>
        <item x="161"/>
        <item x="250"/>
        <item x="225"/>
        <item x="329"/>
        <item x="105"/>
        <item x="222"/>
        <item x="35"/>
        <item x="299"/>
        <item x="85"/>
        <item x="233"/>
        <item x="43"/>
        <item x="128"/>
        <item x="316"/>
        <item x="51"/>
        <item x="315"/>
        <item x="38"/>
        <item x="61"/>
        <item x="18"/>
        <item x="254"/>
        <item x="170"/>
        <item x="163"/>
        <item x="42"/>
        <item x="337"/>
        <item x="192"/>
        <item x="5"/>
        <item x="214"/>
        <item x="235"/>
        <item x="148"/>
        <item x="242"/>
        <item x="172"/>
        <item x="288"/>
        <item x="47"/>
        <item x="215"/>
        <item x="259"/>
        <item t="default"/>
      </items>
    </pivotField>
    <pivotField showAll="0"/>
    <pivotField showAll="0"/>
    <pivotField showAll="0"/>
    <pivotField showAll="0">
      <items count="9">
        <item h="1" x="7"/>
        <item h="1" x="0"/>
        <item x="6"/>
        <item h="1" x="2"/>
        <item h="1" x="1"/>
        <item h="1" x="3"/>
        <item h="1" x="4"/>
        <item h="1" x="5"/>
        <item t="default"/>
      </items>
    </pivotField>
    <pivotField axis="axisRow" showAll="0">
      <items count="4">
        <item h="1" x="0"/>
        <item h="1" x="2"/>
        <item x="1"/>
        <item t="default"/>
      </items>
    </pivotField>
    <pivotField showAll="0">
      <items count="5">
        <item x="0"/>
        <item x="1"/>
        <item x="2"/>
        <item x="3"/>
        <item t="default"/>
      </items>
    </pivotField>
    <pivotField showAll="0">
      <items count="7">
        <item h="1" x="0"/>
        <item h="1" x="5"/>
        <item h="1" x="2"/>
        <item h="1" x="4"/>
        <item h="1" x="3"/>
        <item x="1"/>
        <item t="default"/>
      </items>
    </pivotField>
    <pivotField showAll="0"/>
    <pivotField showAll="0"/>
    <pivotField showAll="0"/>
    <pivotField dataField="1" showAll="0"/>
    <pivotField showAll="0"/>
    <pivotField showAll="0"/>
    <pivotField showAll="0">
      <items count="5">
        <item h="1" x="3"/>
        <item h="1" x="1"/>
        <item h="1" x="0"/>
        <item x="2"/>
        <item t="default"/>
      </items>
    </pivotField>
    <pivotField showAll="0"/>
    <pivotField showAll="0">
      <items count="13">
        <item h="1" x="3"/>
        <item h="1" x="7"/>
        <item h="1" x="9"/>
        <item h="1" x="6"/>
        <item x="2"/>
        <item h="1" x="10"/>
        <item h="1" x="5"/>
        <item h="1" x="11"/>
        <item h="1" x="8"/>
        <item h="1" x="1"/>
        <item h="1" x="0"/>
        <item h="1"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2"/>
    </i>
    <i t="grand">
      <x/>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month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23">
    <pivotField showAll="0"/>
    <pivotField numFmtId="14" showAll="0">
      <items count="339">
        <item x="89"/>
        <item x="139"/>
        <item x="180"/>
        <item x="194"/>
        <item x="330"/>
        <item x="199"/>
        <item x="80"/>
        <item x="307"/>
        <item x="187"/>
        <item x="210"/>
        <item x="3"/>
        <item x="100"/>
        <item x="230"/>
        <item x="263"/>
        <item x="168"/>
        <item x="132"/>
        <item x="143"/>
        <item x="328"/>
        <item x="130"/>
        <item x="201"/>
        <item x="265"/>
        <item x="258"/>
        <item x="8"/>
        <item x="186"/>
        <item x="49"/>
        <item x="247"/>
        <item x="313"/>
        <item x="184"/>
        <item x="300"/>
        <item x="11"/>
        <item x="327"/>
        <item x="50"/>
        <item x="20"/>
        <item x="303"/>
        <item x="91"/>
        <item x="220"/>
        <item x="129"/>
        <item x="39"/>
        <item x="310"/>
        <item x="257"/>
        <item x="273"/>
        <item x="204"/>
        <item x="178"/>
        <item x="86"/>
        <item x="88"/>
        <item x="17"/>
        <item x="56"/>
        <item x="14"/>
        <item x="135"/>
        <item x="41"/>
        <item x="144"/>
        <item x="162"/>
        <item x="291"/>
        <item x="21"/>
        <item x="19"/>
        <item x="319"/>
        <item x="195"/>
        <item x="28"/>
        <item x="46"/>
        <item x="83"/>
        <item x="66"/>
        <item x="293"/>
        <item x="188"/>
        <item x="240"/>
        <item x="211"/>
        <item x="212"/>
        <item x="331"/>
        <item x="269"/>
        <item x="122"/>
        <item x="30"/>
        <item x="131"/>
        <item x="283"/>
        <item x="243"/>
        <item x="36"/>
        <item x="284"/>
        <item x="255"/>
        <item x="121"/>
        <item x="260"/>
        <item x="173"/>
        <item x="60"/>
        <item x="202"/>
        <item x="25"/>
        <item x="190"/>
        <item x="286"/>
        <item x="206"/>
        <item x="73"/>
        <item x="193"/>
        <item x="79"/>
        <item x="165"/>
        <item x="64"/>
        <item x="106"/>
        <item x="133"/>
        <item x="305"/>
        <item x="179"/>
        <item x="234"/>
        <item x="304"/>
        <item x="90"/>
        <item x="289"/>
        <item x="158"/>
        <item x="277"/>
        <item x="147"/>
        <item x="311"/>
        <item x="280"/>
        <item x="157"/>
        <item x="69"/>
        <item x="63"/>
        <item x="249"/>
        <item x="138"/>
        <item x="10"/>
        <item x="239"/>
        <item x="209"/>
        <item x="252"/>
        <item x="44"/>
        <item x="279"/>
        <item x="34"/>
        <item x="123"/>
        <item x="278"/>
        <item x="231"/>
        <item x="141"/>
        <item x="237"/>
        <item x="302"/>
        <item x="24"/>
        <item x="191"/>
        <item x="153"/>
        <item x="2"/>
        <item x="317"/>
        <item x="48"/>
        <item x="276"/>
        <item x="274"/>
        <item x="275"/>
        <item x="295"/>
        <item x="149"/>
        <item x="55"/>
        <item x="238"/>
        <item x="256"/>
        <item x="99"/>
        <item x="76"/>
        <item x="287"/>
        <item x="40"/>
        <item x="136"/>
        <item x="261"/>
        <item x="6"/>
        <item x="226"/>
        <item x="110"/>
        <item x="322"/>
        <item x="326"/>
        <item x="203"/>
        <item x="314"/>
        <item x="268"/>
        <item x="52"/>
        <item x="29"/>
        <item x="32"/>
        <item x="72"/>
        <item x="96"/>
        <item x="98"/>
        <item x="45"/>
        <item x="33"/>
        <item x="232"/>
        <item x="197"/>
        <item x="171"/>
        <item x="223"/>
        <item x="94"/>
        <item x="95"/>
        <item x="116"/>
        <item x="272"/>
        <item x="120"/>
        <item x="218"/>
        <item x="27"/>
        <item x="154"/>
        <item x="224"/>
        <item x="54"/>
        <item x="77"/>
        <item x="177"/>
        <item x="87"/>
        <item x="13"/>
        <item x="166"/>
        <item x="124"/>
        <item x="312"/>
        <item x="294"/>
        <item x="196"/>
        <item x="103"/>
        <item x="68"/>
        <item x="118"/>
        <item x="189"/>
        <item x="167"/>
        <item x="146"/>
        <item x="332"/>
        <item x="125"/>
        <item x="137"/>
        <item x="7"/>
        <item x="174"/>
        <item x="59"/>
        <item x="92"/>
        <item x="306"/>
        <item x="119"/>
        <item x="93"/>
        <item x="251"/>
        <item x="285"/>
        <item x="324"/>
        <item x="227"/>
        <item x="241"/>
        <item x="127"/>
        <item x="296"/>
        <item x="253"/>
        <item x="248"/>
        <item x="145"/>
        <item x="182"/>
        <item x="270"/>
        <item x="112"/>
        <item x="113"/>
        <item x="262"/>
        <item x="333"/>
        <item x="281"/>
        <item x="57"/>
        <item x="334"/>
        <item x="246"/>
        <item x="309"/>
        <item x="236"/>
        <item x="320"/>
        <item x="84"/>
        <item x="282"/>
        <item x="264"/>
        <item x="164"/>
        <item x="152"/>
        <item x="308"/>
        <item x="53"/>
        <item x="169"/>
        <item x="266"/>
        <item x="267"/>
        <item x="318"/>
        <item x="245"/>
        <item x="15"/>
        <item x="115"/>
        <item x="107"/>
        <item x="221"/>
        <item x="229"/>
        <item x="71"/>
        <item x="271"/>
        <item x="151"/>
        <item x="78"/>
        <item x="111"/>
        <item x="323"/>
        <item x="298"/>
        <item x="205"/>
        <item x="181"/>
        <item x="216"/>
        <item x="325"/>
        <item x="336"/>
        <item x="70"/>
        <item x="81"/>
        <item x="31"/>
        <item x="217"/>
        <item x="292"/>
        <item x="1"/>
        <item x="175"/>
        <item x="140"/>
        <item x="16"/>
        <item x="109"/>
        <item x="134"/>
        <item x="155"/>
        <item x="117"/>
        <item x="185"/>
        <item x="26"/>
        <item x="12"/>
        <item x="208"/>
        <item x="150"/>
        <item x="114"/>
        <item x="183"/>
        <item x="23"/>
        <item x="104"/>
        <item x="228"/>
        <item x="102"/>
        <item x="207"/>
        <item x="159"/>
        <item x="108"/>
        <item x="82"/>
        <item x="321"/>
        <item x="244"/>
        <item x="62"/>
        <item x="290"/>
        <item x="160"/>
        <item x="37"/>
        <item x="65"/>
        <item x="297"/>
        <item x="156"/>
        <item x="213"/>
        <item x="4"/>
        <item x="9"/>
        <item x="126"/>
        <item x="0"/>
        <item x="74"/>
        <item x="219"/>
        <item x="335"/>
        <item x="198"/>
        <item x="97"/>
        <item x="200"/>
        <item x="142"/>
        <item x="101"/>
        <item x="22"/>
        <item x="176"/>
        <item x="58"/>
        <item x="301"/>
        <item x="75"/>
        <item x="67"/>
        <item x="161"/>
        <item x="250"/>
        <item x="225"/>
        <item x="329"/>
        <item x="105"/>
        <item x="222"/>
        <item x="35"/>
        <item x="299"/>
        <item x="85"/>
        <item x="233"/>
        <item x="43"/>
        <item x="128"/>
        <item x="316"/>
        <item x="51"/>
        <item x="315"/>
        <item x="38"/>
        <item x="61"/>
        <item x="18"/>
        <item x="254"/>
        <item x="170"/>
        <item x="163"/>
        <item x="42"/>
        <item x="337"/>
        <item x="192"/>
        <item x="5"/>
        <item x="214"/>
        <item x="235"/>
        <item x="148"/>
        <item x="242"/>
        <item x="172"/>
        <item x="288"/>
        <item x="47"/>
        <item x="215"/>
        <item x="259"/>
        <item t="default"/>
      </items>
    </pivotField>
    <pivotField showAll="0"/>
    <pivotField showAll="0"/>
    <pivotField showAll="0"/>
    <pivotField showAll="0">
      <items count="9">
        <item h="1" x="7"/>
        <item h="1" x="0"/>
        <item x="6"/>
        <item h="1" x="2"/>
        <item h="1" x="1"/>
        <item h="1" x="3"/>
        <item h="1" x="4"/>
        <item h="1" x="5"/>
        <item t="default"/>
      </items>
    </pivotField>
    <pivotField showAll="0">
      <items count="4">
        <item h="1" x="0"/>
        <item h="1" x="2"/>
        <item x="1"/>
        <item t="default"/>
      </items>
    </pivotField>
    <pivotField showAll="0">
      <items count="5">
        <item x="0"/>
        <item x="1"/>
        <item x="2"/>
        <item x="3"/>
        <item t="default"/>
      </items>
    </pivotField>
    <pivotField showAll="0">
      <items count="7">
        <item h="1" x="0"/>
        <item h="1" x="5"/>
        <item h="1" x="2"/>
        <item h="1" x="4"/>
        <item h="1" x="3"/>
        <item x="1"/>
        <item t="default"/>
      </items>
    </pivotField>
    <pivotField showAll="0"/>
    <pivotField showAll="0"/>
    <pivotField showAll="0"/>
    <pivotField dataField="1" showAll="0"/>
    <pivotField showAll="0"/>
    <pivotField showAll="0"/>
    <pivotField showAll="0">
      <items count="5">
        <item x="3"/>
        <item x="1"/>
        <item x="0"/>
        <item x="2"/>
        <item t="default"/>
      </items>
    </pivotField>
    <pivotField showAll="0"/>
    <pivotField axis="axisRow" showAll="0">
      <items count="13">
        <item h="1" x="3"/>
        <item h="1" x="7"/>
        <item h="1" x="9"/>
        <item h="1" x="6"/>
        <item x="2"/>
        <item h="1" x="10"/>
        <item h="1" x="5"/>
        <item h="1" x="11"/>
        <item h="1" x="8"/>
        <item h="1" x="1"/>
        <item h="1" x="0"/>
        <item h="1"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2">
    <i>
      <x v="4"/>
    </i>
    <i t="grand">
      <x/>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salesperson"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A42:B44" firstHeaderRow="1" firstDataRow="1" firstDataCol="1"/>
  <pivotFields count="23">
    <pivotField showAll="0"/>
    <pivotField numFmtId="14" showAll="0">
      <items count="339">
        <item x="89"/>
        <item x="139"/>
        <item x="180"/>
        <item x="194"/>
        <item x="330"/>
        <item x="199"/>
        <item x="80"/>
        <item x="307"/>
        <item x="187"/>
        <item x="210"/>
        <item x="3"/>
        <item x="100"/>
        <item x="230"/>
        <item x="263"/>
        <item x="168"/>
        <item x="132"/>
        <item x="143"/>
        <item x="328"/>
        <item x="130"/>
        <item x="201"/>
        <item x="265"/>
        <item x="258"/>
        <item x="8"/>
        <item x="186"/>
        <item x="49"/>
        <item x="247"/>
        <item x="313"/>
        <item x="184"/>
        <item x="300"/>
        <item x="11"/>
        <item x="327"/>
        <item x="50"/>
        <item x="20"/>
        <item x="303"/>
        <item x="91"/>
        <item x="220"/>
        <item x="129"/>
        <item x="39"/>
        <item x="310"/>
        <item x="257"/>
        <item x="273"/>
        <item x="204"/>
        <item x="178"/>
        <item x="86"/>
        <item x="88"/>
        <item x="17"/>
        <item x="56"/>
        <item x="14"/>
        <item x="135"/>
        <item x="41"/>
        <item x="144"/>
        <item x="162"/>
        <item x="291"/>
        <item x="21"/>
        <item x="19"/>
        <item x="319"/>
        <item x="195"/>
        <item x="28"/>
        <item x="46"/>
        <item x="83"/>
        <item x="66"/>
        <item x="293"/>
        <item x="188"/>
        <item x="240"/>
        <item x="211"/>
        <item x="212"/>
        <item x="331"/>
        <item x="269"/>
        <item x="122"/>
        <item x="30"/>
        <item x="131"/>
        <item x="283"/>
        <item x="243"/>
        <item x="36"/>
        <item x="284"/>
        <item x="255"/>
        <item x="121"/>
        <item x="260"/>
        <item x="173"/>
        <item x="60"/>
        <item x="202"/>
        <item x="25"/>
        <item x="190"/>
        <item x="286"/>
        <item x="206"/>
        <item x="73"/>
        <item x="193"/>
        <item x="79"/>
        <item x="165"/>
        <item x="64"/>
        <item x="106"/>
        <item x="133"/>
        <item x="305"/>
        <item x="179"/>
        <item x="234"/>
        <item x="304"/>
        <item x="90"/>
        <item x="289"/>
        <item x="158"/>
        <item x="277"/>
        <item x="147"/>
        <item x="311"/>
        <item x="280"/>
        <item x="157"/>
        <item x="69"/>
        <item x="63"/>
        <item x="249"/>
        <item x="138"/>
        <item x="10"/>
        <item x="239"/>
        <item x="209"/>
        <item x="252"/>
        <item x="44"/>
        <item x="279"/>
        <item x="34"/>
        <item x="123"/>
        <item x="278"/>
        <item x="231"/>
        <item x="141"/>
        <item x="237"/>
        <item x="302"/>
        <item x="24"/>
        <item x="191"/>
        <item x="153"/>
        <item x="2"/>
        <item x="317"/>
        <item x="48"/>
        <item x="276"/>
        <item x="274"/>
        <item x="275"/>
        <item x="295"/>
        <item x="149"/>
        <item x="55"/>
        <item x="238"/>
        <item x="256"/>
        <item x="99"/>
        <item x="76"/>
        <item x="287"/>
        <item x="40"/>
        <item x="136"/>
        <item x="261"/>
        <item x="6"/>
        <item x="226"/>
        <item x="110"/>
        <item x="322"/>
        <item x="326"/>
        <item x="203"/>
        <item x="314"/>
        <item x="268"/>
        <item x="52"/>
        <item x="29"/>
        <item x="32"/>
        <item x="72"/>
        <item x="96"/>
        <item x="98"/>
        <item x="45"/>
        <item x="33"/>
        <item x="232"/>
        <item x="197"/>
        <item x="171"/>
        <item x="223"/>
        <item x="94"/>
        <item x="95"/>
        <item x="116"/>
        <item x="272"/>
        <item x="120"/>
        <item x="218"/>
        <item x="27"/>
        <item x="154"/>
        <item x="224"/>
        <item x="54"/>
        <item x="77"/>
        <item x="177"/>
        <item x="87"/>
        <item x="13"/>
        <item x="166"/>
        <item x="124"/>
        <item x="312"/>
        <item x="294"/>
        <item x="196"/>
        <item x="103"/>
        <item x="68"/>
        <item x="118"/>
        <item x="189"/>
        <item x="167"/>
        <item x="146"/>
        <item x="332"/>
        <item x="125"/>
        <item x="137"/>
        <item x="7"/>
        <item x="174"/>
        <item x="59"/>
        <item x="92"/>
        <item x="306"/>
        <item x="119"/>
        <item x="93"/>
        <item x="251"/>
        <item x="285"/>
        <item x="324"/>
        <item x="227"/>
        <item x="241"/>
        <item x="127"/>
        <item x="296"/>
        <item x="253"/>
        <item x="248"/>
        <item x="145"/>
        <item x="182"/>
        <item x="270"/>
        <item x="112"/>
        <item x="113"/>
        <item x="262"/>
        <item x="333"/>
        <item x="281"/>
        <item x="57"/>
        <item x="334"/>
        <item x="246"/>
        <item x="309"/>
        <item x="236"/>
        <item x="320"/>
        <item x="84"/>
        <item x="282"/>
        <item x="264"/>
        <item x="164"/>
        <item x="152"/>
        <item x="308"/>
        <item x="53"/>
        <item x="169"/>
        <item x="266"/>
        <item x="267"/>
        <item x="318"/>
        <item x="245"/>
        <item x="15"/>
        <item x="115"/>
        <item x="107"/>
        <item x="221"/>
        <item x="229"/>
        <item x="71"/>
        <item x="271"/>
        <item x="151"/>
        <item x="78"/>
        <item x="111"/>
        <item x="323"/>
        <item x="298"/>
        <item x="205"/>
        <item x="181"/>
        <item x="216"/>
        <item x="325"/>
        <item x="336"/>
        <item x="70"/>
        <item x="81"/>
        <item x="31"/>
        <item x="217"/>
        <item x="292"/>
        <item x="1"/>
        <item x="175"/>
        <item x="140"/>
        <item x="16"/>
        <item x="109"/>
        <item x="134"/>
        <item x="155"/>
        <item x="117"/>
        <item x="185"/>
        <item x="26"/>
        <item x="12"/>
        <item x="208"/>
        <item x="150"/>
        <item x="114"/>
        <item x="183"/>
        <item x="23"/>
        <item x="104"/>
        <item x="228"/>
        <item x="102"/>
        <item x="207"/>
        <item x="159"/>
        <item x="108"/>
        <item x="82"/>
        <item x="321"/>
        <item x="244"/>
        <item x="62"/>
        <item x="290"/>
        <item x="160"/>
        <item x="37"/>
        <item x="65"/>
        <item x="297"/>
        <item x="156"/>
        <item x="213"/>
        <item x="4"/>
        <item x="9"/>
        <item x="126"/>
        <item x="0"/>
        <item x="74"/>
        <item x="219"/>
        <item x="335"/>
        <item x="198"/>
        <item x="97"/>
        <item x="200"/>
        <item x="142"/>
        <item x="101"/>
        <item x="22"/>
        <item x="176"/>
        <item x="58"/>
        <item x="301"/>
        <item x="75"/>
        <item x="67"/>
        <item x="161"/>
        <item x="250"/>
        <item x="225"/>
        <item x="329"/>
        <item x="105"/>
        <item x="222"/>
        <item x="35"/>
        <item x="299"/>
        <item x="85"/>
        <item x="233"/>
        <item x="43"/>
        <item x="128"/>
        <item x="316"/>
        <item x="51"/>
        <item x="315"/>
        <item x="38"/>
        <item x="61"/>
        <item x="18"/>
        <item x="254"/>
        <item x="170"/>
        <item x="163"/>
        <item x="42"/>
        <item x="337"/>
        <item x="192"/>
        <item x="5"/>
        <item x="214"/>
        <item x="235"/>
        <item x="148"/>
        <item x="242"/>
        <item x="172"/>
        <item x="288"/>
        <item x="47"/>
        <item x="215"/>
        <item x="259"/>
        <item t="default"/>
      </items>
    </pivotField>
    <pivotField showAll="0"/>
    <pivotField showAll="0"/>
    <pivotField showAll="0"/>
    <pivotField showAll="0"/>
    <pivotField showAll="0"/>
    <pivotField showAll="0">
      <items count="5">
        <item x="0"/>
        <item x="1"/>
        <item x="2"/>
        <item x="3"/>
        <item t="default"/>
      </items>
    </pivotField>
    <pivotField axis="axisRow" showAll="0">
      <items count="7">
        <item h="1" x="0"/>
        <item h="1" x="5"/>
        <item h="1" x="2"/>
        <item h="1" x="4"/>
        <item h="1" x="3"/>
        <item x="1"/>
        <item t="default"/>
      </items>
    </pivotField>
    <pivotField showAll="0"/>
    <pivotField showAll="0"/>
    <pivotField showAll="0"/>
    <pivotField dataField="1" showAll="0"/>
    <pivotField showAll="0"/>
    <pivotField showAll="0"/>
    <pivotField showAll="0"/>
    <pivotField showAll="0"/>
    <pivotField showAll="0">
      <items count="13">
        <item h="1" x="3"/>
        <item h="1" x="7"/>
        <item h="1" x="9"/>
        <item h="1" x="6"/>
        <item x="2"/>
        <item h="1" x="10"/>
        <item h="1" x="5"/>
        <item h="1" x="11"/>
        <item h="1" x="8"/>
        <item h="1" x="1"/>
        <item h="1" x="0"/>
        <item h="1"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5"/>
    </i>
    <i t="grand">
      <x/>
    </i>
  </rowItems>
  <colItems count="1">
    <i/>
  </colItems>
  <dataFields count="1">
    <dataField name="Sum of Sales" fld="1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ayment"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34:B39" firstHeaderRow="1" firstDataRow="1" firstDataCol="1"/>
  <pivotFields count="23">
    <pivotField showAll="0"/>
    <pivotField numFmtId="14" showAll="0">
      <items count="339">
        <item x="89"/>
        <item x="139"/>
        <item x="180"/>
        <item x="194"/>
        <item x="330"/>
        <item x="199"/>
        <item x="80"/>
        <item x="307"/>
        <item x="187"/>
        <item x="210"/>
        <item x="3"/>
        <item x="100"/>
        <item x="230"/>
        <item x="263"/>
        <item x="168"/>
        <item x="132"/>
        <item x="143"/>
        <item x="328"/>
        <item x="130"/>
        <item x="201"/>
        <item x="265"/>
        <item x="258"/>
        <item x="8"/>
        <item x="186"/>
        <item x="49"/>
        <item x="247"/>
        <item x="313"/>
        <item x="184"/>
        <item x="300"/>
        <item x="11"/>
        <item x="327"/>
        <item x="50"/>
        <item x="20"/>
        <item x="303"/>
        <item x="91"/>
        <item x="220"/>
        <item x="129"/>
        <item x="39"/>
        <item x="310"/>
        <item x="257"/>
        <item x="273"/>
        <item x="204"/>
        <item x="178"/>
        <item x="86"/>
        <item x="88"/>
        <item x="17"/>
        <item x="56"/>
        <item x="14"/>
        <item x="135"/>
        <item x="41"/>
        <item x="144"/>
        <item x="162"/>
        <item x="291"/>
        <item x="21"/>
        <item x="19"/>
        <item x="319"/>
        <item x="195"/>
        <item x="28"/>
        <item x="46"/>
        <item x="83"/>
        <item x="66"/>
        <item x="293"/>
        <item x="188"/>
        <item x="240"/>
        <item x="211"/>
        <item x="212"/>
        <item x="331"/>
        <item x="269"/>
        <item x="122"/>
        <item x="30"/>
        <item x="131"/>
        <item x="283"/>
        <item x="243"/>
        <item x="36"/>
        <item x="284"/>
        <item x="255"/>
        <item x="121"/>
        <item x="260"/>
        <item x="173"/>
        <item x="60"/>
        <item x="202"/>
        <item x="25"/>
        <item x="190"/>
        <item x="286"/>
        <item x="206"/>
        <item x="73"/>
        <item x="193"/>
        <item x="79"/>
        <item x="165"/>
        <item x="64"/>
        <item x="106"/>
        <item x="133"/>
        <item x="305"/>
        <item x="179"/>
        <item x="234"/>
        <item x="304"/>
        <item x="90"/>
        <item x="289"/>
        <item x="158"/>
        <item x="277"/>
        <item x="147"/>
        <item x="311"/>
        <item x="280"/>
        <item x="157"/>
        <item x="69"/>
        <item x="63"/>
        <item x="249"/>
        <item x="138"/>
        <item x="10"/>
        <item x="239"/>
        <item x="209"/>
        <item x="252"/>
        <item x="44"/>
        <item x="279"/>
        <item x="34"/>
        <item x="123"/>
        <item x="278"/>
        <item x="231"/>
        <item x="141"/>
        <item x="237"/>
        <item x="302"/>
        <item x="24"/>
        <item x="191"/>
        <item x="153"/>
        <item x="2"/>
        <item x="317"/>
        <item x="48"/>
        <item x="276"/>
        <item x="274"/>
        <item x="275"/>
        <item x="295"/>
        <item x="149"/>
        <item x="55"/>
        <item x="238"/>
        <item x="256"/>
        <item x="99"/>
        <item x="76"/>
        <item x="287"/>
        <item x="40"/>
        <item x="136"/>
        <item x="261"/>
        <item x="6"/>
        <item x="226"/>
        <item x="110"/>
        <item x="322"/>
        <item x="326"/>
        <item x="203"/>
        <item x="314"/>
        <item x="268"/>
        <item x="52"/>
        <item x="29"/>
        <item x="32"/>
        <item x="72"/>
        <item x="96"/>
        <item x="98"/>
        <item x="45"/>
        <item x="33"/>
        <item x="232"/>
        <item x="197"/>
        <item x="171"/>
        <item x="223"/>
        <item x="94"/>
        <item x="95"/>
        <item x="116"/>
        <item x="272"/>
        <item x="120"/>
        <item x="218"/>
        <item x="27"/>
        <item x="154"/>
        <item x="224"/>
        <item x="54"/>
        <item x="77"/>
        <item x="177"/>
        <item x="87"/>
        <item x="13"/>
        <item x="166"/>
        <item x="124"/>
        <item x="312"/>
        <item x="294"/>
        <item x="196"/>
        <item x="103"/>
        <item x="68"/>
        <item x="118"/>
        <item x="189"/>
        <item x="167"/>
        <item x="146"/>
        <item x="332"/>
        <item x="125"/>
        <item x="137"/>
        <item x="7"/>
        <item x="174"/>
        <item x="59"/>
        <item x="92"/>
        <item x="306"/>
        <item x="119"/>
        <item x="93"/>
        <item x="251"/>
        <item x="285"/>
        <item x="324"/>
        <item x="227"/>
        <item x="241"/>
        <item x="127"/>
        <item x="296"/>
        <item x="253"/>
        <item x="248"/>
        <item x="145"/>
        <item x="182"/>
        <item x="270"/>
        <item x="112"/>
        <item x="113"/>
        <item x="262"/>
        <item x="333"/>
        <item x="281"/>
        <item x="57"/>
        <item x="334"/>
        <item x="246"/>
        <item x="309"/>
        <item x="236"/>
        <item x="320"/>
        <item x="84"/>
        <item x="282"/>
        <item x="264"/>
        <item x="164"/>
        <item x="152"/>
        <item x="308"/>
        <item x="53"/>
        <item x="169"/>
        <item x="266"/>
        <item x="267"/>
        <item x="318"/>
        <item x="245"/>
        <item x="15"/>
        <item x="115"/>
        <item x="107"/>
        <item x="221"/>
        <item x="229"/>
        <item x="71"/>
        <item x="271"/>
        <item x="151"/>
        <item x="78"/>
        <item x="111"/>
        <item x="323"/>
        <item x="298"/>
        <item x="205"/>
        <item x="181"/>
        <item x="216"/>
        <item x="325"/>
        <item x="336"/>
        <item x="70"/>
        <item x="81"/>
        <item x="31"/>
        <item x="217"/>
        <item x="292"/>
        <item x="1"/>
        <item x="175"/>
        <item x="140"/>
        <item x="16"/>
        <item x="109"/>
        <item x="134"/>
        <item x="155"/>
        <item x="117"/>
        <item x="185"/>
        <item x="26"/>
        <item x="12"/>
        <item x="208"/>
        <item x="150"/>
        <item x="114"/>
        <item x="183"/>
        <item x="23"/>
        <item x="104"/>
        <item x="228"/>
        <item x="102"/>
        <item x="207"/>
        <item x="159"/>
        <item x="108"/>
        <item x="82"/>
        <item x="321"/>
        <item x="244"/>
        <item x="62"/>
        <item x="290"/>
        <item x="160"/>
        <item x="37"/>
        <item x="65"/>
        <item x="297"/>
        <item x="156"/>
        <item x="213"/>
        <item x="4"/>
        <item x="9"/>
        <item x="126"/>
        <item x="0"/>
        <item x="74"/>
        <item x="219"/>
        <item x="335"/>
        <item x="198"/>
        <item x="97"/>
        <item x="200"/>
        <item x="142"/>
        <item x="101"/>
        <item x="22"/>
        <item x="176"/>
        <item x="58"/>
        <item x="301"/>
        <item x="75"/>
        <item x="67"/>
        <item x="161"/>
        <item x="250"/>
        <item x="225"/>
        <item x="329"/>
        <item x="105"/>
        <item x="222"/>
        <item x="35"/>
        <item x="299"/>
        <item x="85"/>
        <item x="233"/>
        <item x="43"/>
        <item x="128"/>
        <item x="316"/>
        <item x="51"/>
        <item x="315"/>
        <item x="38"/>
        <item x="61"/>
        <item x="18"/>
        <item x="254"/>
        <item x="170"/>
        <item x="163"/>
        <item x="42"/>
        <item x="337"/>
        <item x="192"/>
        <item x="5"/>
        <item x="214"/>
        <item x="235"/>
        <item x="148"/>
        <item x="242"/>
        <item x="172"/>
        <item x="288"/>
        <item x="47"/>
        <item x="215"/>
        <item x="259"/>
        <item t="default"/>
      </items>
    </pivotField>
    <pivotField showAll="0"/>
    <pivotField showAll="0"/>
    <pivotField showAll="0"/>
    <pivotField showAll="0"/>
    <pivotField showAll="0"/>
    <pivotField showAll="0">
      <items count="5">
        <item x="0"/>
        <item x="1"/>
        <item x="2"/>
        <item x="3"/>
        <item t="default"/>
      </items>
    </pivotField>
    <pivotField showAll="0">
      <items count="7">
        <item h="1" x="0"/>
        <item h="1" x="5"/>
        <item h="1" x="2"/>
        <item h="1" x="4"/>
        <item h="1" x="3"/>
        <item x="1"/>
        <item t="default"/>
      </items>
    </pivotField>
    <pivotField showAll="0"/>
    <pivotField showAll="0"/>
    <pivotField showAll="0"/>
    <pivotField dataField="1" showAll="0"/>
    <pivotField showAll="0"/>
    <pivotField showAll="0"/>
    <pivotField axis="axisRow" showAll="0">
      <items count="5">
        <item x="3"/>
        <item x="1"/>
        <item x="0"/>
        <item x="2"/>
        <item t="default"/>
      </items>
    </pivotField>
    <pivotField showAll="0"/>
    <pivotField showAll="0">
      <items count="13">
        <item h="1" x="3"/>
        <item h="1" x="7"/>
        <item h="1" x="9"/>
        <item h="1" x="6"/>
        <item x="2"/>
        <item h="1" x="10"/>
        <item h="1" x="5"/>
        <item h="1" x="11"/>
        <item h="1" x="8"/>
        <item h="1" x="1"/>
        <item h="1" x="0"/>
        <item h="1"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Sum of Sales" fld="12"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6:B31" firstHeaderRow="1" firstDataRow="1" firstDataCol="1"/>
  <pivotFields count="23">
    <pivotField showAll="0"/>
    <pivotField numFmtId="14" showAll="0">
      <items count="339">
        <item x="89"/>
        <item x="139"/>
        <item x="180"/>
        <item x="194"/>
        <item x="330"/>
        <item x="199"/>
        <item x="80"/>
        <item x="307"/>
        <item x="187"/>
        <item x="210"/>
        <item x="3"/>
        <item x="100"/>
        <item x="230"/>
        <item x="263"/>
        <item x="168"/>
        <item x="132"/>
        <item x="143"/>
        <item x="328"/>
        <item x="130"/>
        <item x="201"/>
        <item x="265"/>
        <item x="258"/>
        <item x="8"/>
        <item x="186"/>
        <item x="49"/>
        <item x="247"/>
        <item x="313"/>
        <item x="184"/>
        <item x="300"/>
        <item x="11"/>
        <item x="327"/>
        <item x="50"/>
        <item x="20"/>
        <item x="303"/>
        <item x="91"/>
        <item x="220"/>
        <item x="129"/>
        <item x="39"/>
        <item x="310"/>
        <item x="257"/>
        <item x="273"/>
        <item x="204"/>
        <item x="178"/>
        <item x="86"/>
        <item x="88"/>
        <item x="17"/>
        <item x="56"/>
        <item x="14"/>
        <item x="135"/>
        <item x="41"/>
        <item x="144"/>
        <item x="162"/>
        <item x="291"/>
        <item x="21"/>
        <item x="19"/>
        <item x="319"/>
        <item x="195"/>
        <item x="28"/>
        <item x="46"/>
        <item x="83"/>
        <item x="66"/>
        <item x="293"/>
        <item x="188"/>
        <item x="240"/>
        <item x="211"/>
        <item x="212"/>
        <item x="331"/>
        <item x="269"/>
        <item x="122"/>
        <item x="30"/>
        <item x="131"/>
        <item x="283"/>
        <item x="243"/>
        <item x="36"/>
        <item x="284"/>
        <item x="255"/>
        <item x="121"/>
        <item x="260"/>
        <item x="173"/>
        <item x="60"/>
        <item x="202"/>
        <item x="25"/>
        <item x="190"/>
        <item x="286"/>
        <item x="206"/>
        <item x="73"/>
        <item x="193"/>
        <item x="79"/>
        <item x="165"/>
        <item x="64"/>
        <item x="106"/>
        <item x="133"/>
        <item x="305"/>
        <item x="179"/>
        <item x="234"/>
        <item x="304"/>
        <item x="90"/>
        <item x="289"/>
        <item x="158"/>
        <item x="277"/>
        <item x="147"/>
        <item x="311"/>
        <item x="280"/>
        <item x="157"/>
        <item x="69"/>
        <item x="63"/>
        <item x="249"/>
        <item x="138"/>
        <item x="10"/>
        <item x="239"/>
        <item x="209"/>
        <item x="252"/>
        <item x="44"/>
        <item x="279"/>
        <item x="34"/>
        <item x="123"/>
        <item x="278"/>
        <item x="231"/>
        <item x="141"/>
        <item x="237"/>
        <item x="302"/>
        <item x="24"/>
        <item x="191"/>
        <item x="153"/>
        <item x="2"/>
        <item x="317"/>
        <item x="48"/>
        <item x="276"/>
        <item x="274"/>
        <item x="275"/>
        <item x="295"/>
        <item x="149"/>
        <item x="55"/>
        <item x="238"/>
        <item x="256"/>
        <item x="99"/>
        <item x="76"/>
        <item x="287"/>
        <item x="40"/>
        <item x="136"/>
        <item x="261"/>
        <item x="6"/>
        <item x="226"/>
        <item x="110"/>
        <item x="322"/>
        <item x="326"/>
        <item x="203"/>
        <item x="314"/>
        <item x="268"/>
        <item x="52"/>
        <item x="29"/>
        <item x="32"/>
        <item x="72"/>
        <item x="96"/>
        <item x="98"/>
        <item x="45"/>
        <item x="33"/>
        <item x="232"/>
        <item x="197"/>
        <item x="171"/>
        <item x="223"/>
        <item x="94"/>
        <item x="95"/>
        <item x="116"/>
        <item x="272"/>
        <item x="120"/>
        <item x="218"/>
        <item x="27"/>
        <item x="154"/>
        <item x="224"/>
        <item x="54"/>
        <item x="77"/>
        <item x="177"/>
        <item x="87"/>
        <item x="13"/>
        <item x="166"/>
        <item x="124"/>
        <item x="312"/>
        <item x="294"/>
        <item x="196"/>
        <item x="103"/>
        <item x="68"/>
        <item x="118"/>
        <item x="189"/>
        <item x="167"/>
        <item x="146"/>
        <item x="332"/>
        <item x="125"/>
        <item x="137"/>
        <item x="7"/>
        <item x="174"/>
        <item x="59"/>
        <item x="92"/>
        <item x="306"/>
        <item x="119"/>
        <item x="93"/>
        <item x="251"/>
        <item x="285"/>
        <item x="324"/>
        <item x="227"/>
        <item x="241"/>
        <item x="127"/>
        <item x="296"/>
        <item x="253"/>
        <item x="248"/>
        <item x="145"/>
        <item x="182"/>
        <item x="270"/>
        <item x="112"/>
        <item x="113"/>
        <item x="262"/>
        <item x="333"/>
        <item x="281"/>
        <item x="57"/>
        <item x="334"/>
        <item x="246"/>
        <item x="309"/>
        <item x="236"/>
        <item x="320"/>
        <item x="84"/>
        <item x="282"/>
        <item x="264"/>
        <item x="164"/>
        <item x="152"/>
        <item x="308"/>
        <item x="53"/>
        <item x="169"/>
        <item x="266"/>
        <item x="267"/>
        <item x="318"/>
        <item x="245"/>
        <item x="15"/>
        <item x="115"/>
        <item x="107"/>
        <item x="221"/>
        <item x="229"/>
        <item x="71"/>
        <item x="271"/>
        <item x="151"/>
        <item x="78"/>
        <item x="111"/>
        <item x="323"/>
        <item x="298"/>
        <item x="205"/>
        <item x="181"/>
        <item x="216"/>
        <item x="325"/>
        <item x="336"/>
        <item x="70"/>
        <item x="81"/>
        <item x="31"/>
        <item x="217"/>
        <item x="292"/>
        <item x="1"/>
        <item x="175"/>
        <item x="140"/>
        <item x="16"/>
        <item x="109"/>
        <item x="134"/>
        <item x="155"/>
        <item x="117"/>
        <item x="185"/>
        <item x="26"/>
        <item x="12"/>
        <item x="208"/>
        <item x="150"/>
        <item x="114"/>
        <item x="183"/>
        <item x="23"/>
        <item x="104"/>
        <item x="228"/>
        <item x="102"/>
        <item x="207"/>
        <item x="159"/>
        <item x="108"/>
        <item x="82"/>
        <item x="321"/>
        <item x="244"/>
        <item x="62"/>
        <item x="290"/>
        <item x="160"/>
        <item x="37"/>
        <item x="65"/>
        <item x="297"/>
        <item x="156"/>
        <item x="213"/>
        <item x="4"/>
        <item x="9"/>
        <item x="126"/>
        <item x="0"/>
        <item x="74"/>
        <item x="219"/>
        <item x="335"/>
        <item x="198"/>
        <item x="97"/>
        <item x="200"/>
        <item x="142"/>
        <item x="101"/>
        <item x="22"/>
        <item x="176"/>
        <item x="58"/>
        <item x="301"/>
        <item x="75"/>
        <item x="67"/>
        <item x="161"/>
        <item x="250"/>
        <item x="225"/>
        <item x="329"/>
        <item x="105"/>
        <item x="222"/>
        <item x="35"/>
        <item x="299"/>
        <item x="85"/>
        <item x="233"/>
        <item x="43"/>
        <item x="128"/>
        <item x="316"/>
        <item x="51"/>
        <item x="315"/>
        <item x="38"/>
        <item x="61"/>
        <item x="18"/>
        <item x="254"/>
        <item x="170"/>
        <item x="163"/>
        <item x="42"/>
        <item x="337"/>
        <item x="192"/>
        <item x="5"/>
        <item x="214"/>
        <item x="235"/>
        <item x="148"/>
        <item x="242"/>
        <item x="172"/>
        <item x="288"/>
        <item x="47"/>
        <item x="215"/>
        <item x="259"/>
        <item t="default"/>
      </items>
    </pivotField>
    <pivotField showAll="0"/>
    <pivotField showAll="0"/>
    <pivotField showAll="0"/>
    <pivotField showAll="0">
      <items count="9">
        <item h="1" x="7"/>
        <item h="1" x="0"/>
        <item x="6"/>
        <item h="1" x="2"/>
        <item h="1" x="1"/>
        <item h="1" x="3"/>
        <item h="1" x="4"/>
        <item h="1" x="5"/>
        <item t="default"/>
      </items>
    </pivotField>
    <pivotField showAll="0">
      <items count="4">
        <item h="1" x="0"/>
        <item h="1" x="2"/>
        <item x="1"/>
        <item t="default"/>
      </items>
    </pivotField>
    <pivotField axis="axisRow" showAll="0">
      <items count="5">
        <item x="0"/>
        <item x="1"/>
        <item x="2"/>
        <item x="3"/>
        <item t="default"/>
      </items>
    </pivotField>
    <pivotField showAll="0">
      <items count="7">
        <item h="1" x="0"/>
        <item h="1" x="5"/>
        <item h="1" x="2"/>
        <item h="1" x="4"/>
        <item h="1" x="3"/>
        <item x="1"/>
        <item t="default"/>
      </items>
    </pivotField>
    <pivotField showAll="0"/>
    <pivotField showAll="0"/>
    <pivotField showAll="0"/>
    <pivotField showAll="0"/>
    <pivotField showAll="0"/>
    <pivotField dataField="1" showAll="0"/>
    <pivotField showAll="0">
      <items count="5">
        <item x="3"/>
        <item x="1"/>
        <item x="0"/>
        <item x="2"/>
        <item t="default"/>
      </items>
    </pivotField>
    <pivotField showAll="0"/>
    <pivotField showAll="0">
      <items count="13">
        <item h="1" x="3"/>
        <item h="1" x="7"/>
        <item h="1" x="9"/>
        <item h="1" x="6"/>
        <item x="2"/>
        <item h="1" x="10"/>
        <item h="1" x="5"/>
        <item h="1" x="11"/>
        <item h="1" x="8"/>
        <item h="1" x="1"/>
        <item h="1" x="0"/>
        <item h="1"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3" name="category"/>
    <pivotTable tabId="3" name="month sale"/>
    <pivotTable tabId="3" name="payment"/>
    <pivotTable tabId="3" name="region"/>
    <pivotTable tabId="3" name="salesperson"/>
  </pivotTables>
  <data>
    <tabular pivotCacheId="1178488474">
      <items count="12">
        <i x="3"/>
        <i x="7"/>
        <i x="9"/>
        <i x="6"/>
        <i x="2" s="1"/>
        <i x="10"/>
        <i x="5"/>
        <i x="11"/>
        <i x="8"/>
        <i x="1"/>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5000000}" sourceName="Salesperson">
  <pivotTables>
    <pivotTable tabId="3" name="salesperson"/>
    <pivotTable tabId="3" name="category"/>
    <pivotTable tabId="3" name="month sale"/>
    <pivotTable tabId="3" name="payment"/>
    <pivotTable tabId="3" name="region"/>
  </pivotTables>
  <data>
    <tabular pivotCacheId="1178488474">
      <items count="6">
        <i x="0"/>
        <i x="5"/>
        <i x="2"/>
        <i x="4"/>
        <i x="3"/>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00000000-0013-0000-FFFF-FFFF06000000}" sourceName="Product Name">
  <data>
    <tabular pivotCacheId="1178488474">
      <items count="8">
        <i x="7" s="1"/>
        <i x="0" s="1"/>
        <i x="6" s="1"/>
        <i x="2" s="1"/>
        <i x="1"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0000000-0013-0000-FFFF-FFFF07000000}" sourceName="Category">
  <data>
    <tabular pivotCacheId="1178488474">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8000000}" sourceName="Month">
  <data>
    <tabular pivotCacheId="1178488474">
      <items count="12">
        <i x="3" s="1"/>
        <i x="7" s="1"/>
        <i x="9" s="1"/>
        <i x="6" s="1"/>
        <i x="2" s="1"/>
        <i x="10" s="1"/>
        <i x="5" s="1"/>
        <i x="11" s="1"/>
        <i x="8" s="1"/>
        <i x="1"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00000000-0013-0000-FFFF-FFFF09000000}" sourceName="Salesperson">
  <data>
    <tabular pivotCacheId="1178488474">
      <items count="6">
        <i x="0" s="1"/>
        <i x="5" s="1"/>
        <i x="2" s="1"/>
        <i x="4"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678EF7-A9DB-4105-8647-8982BC40C156}" sourceName="Region">
  <pivotTables>
    <pivotTable tabId="3" name="category"/>
    <pivotTable tabId="3" name="month sale"/>
    <pivotTable tabId="3" name="payment"/>
    <pivotTable tabId="3" name="region"/>
    <pivotTable tabId="3" name="salesperson"/>
  </pivotTables>
  <data>
    <tabular pivotCacheId="117848847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0000000-0014-0000-FFFF-FFFF0F000000}" cache="Slicer_Month" caption="Month" rowHeight="241300"/>
  <slicer name="Salesperson" xr10:uid="{00000000-0014-0000-FFFF-FFFF10000000}"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4" xr10:uid="{A76FBCF9-B921-415F-8645-B2125A143663}" cache="Slicer_Product_Name1" caption="Product Name" columnCount="4" style="SlicerStyleDark1" rowHeight="241300"/>
  <slicer name="Category 7" xr10:uid="{A3E06E4C-6585-48BC-B7C0-F3B99D8090C5}" cache="Slicer_Category1" caption="Category" columnCount="3" style="SlicerStyleDark1" rowHeight="241300"/>
  <slicer name="Category 8" xr10:uid="{D76F8A53-5646-4466-872A-6CF8780D8F77}" cache="Slicer_Category1" caption="Category" style="SlicerStyleDark1" rowHeight="241300"/>
  <slicer name="Month 5" xr10:uid="{E4A2F3DD-38FF-4E3E-93D4-186268397015}" cache="Slicer_Month1" caption="Month" columnCount="3" style="SlicerStyleDark1" rowHeight="241300"/>
  <slicer name="Region 1" xr10:uid="{CCE2C7B8-2B4E-4F5D-81F0-C9940472415A}" cache="Slicer_Region" caption="Region" columnCount="2"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3" xr10:uid="{00000000-0014-0000-FFFF-FFFF0A000000}" cache="Slicer_Product_Name1" caption="Product Name" columnCount="4" style="SlicerStyleDark1" rowHeight="241300"/>
  <slicer name="Category 5" xr10:uid="{00000000-0014-0000-FFFF-FFFF0B000000}" cache="Slicer_Category1" caption="Category" columnCount="3" style="SlicerStyleDark1" rowHeight="241300"/>
  <slicer name="Category 6" xr10:uid="{00000000-0014-0000-FFFF-FFFF0C000000}" cache="Slicer_Category1" caption="Category" style="SlicerStyleDark1" rowHeight="241300"/>
  <slicer name="Month 4" xr10:uid="{00000000-0014-0000-FFFF-FFFF0D000000}" cache="Slicer_Month1" caption="Month" columnCount="3" style="SlicerStyleDark1" rowHeight="241300"/>
  <slicer name="Salesperson 2" xr10:uid="{00000000-0014-0000-FFFF-FFFF0E000000}" cache="Slicer_Salesperson1" caption="Salesperson" columnCount="3"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2" xr10:uid="{00000000-0014-0000-FFFF-FFFF01000000}" cache="Slicer_Product_Name1" caption="Product Name" columnCount="4" style="SlicerStyleDark1" rowHeight="241300"/>
  <slicer name="Category 2" xr10:uid="{00000000-0014-0000-FFFF-FFFF02000000}" cache="Slicer_Category1" caption="Category" columnCount="3" style="SlicerStyleDark1" rowHeight="241300"/>
  <slicer name="Category 4" xr10:uid="{00000000-0014-0000-FFFF-FFFF03000000}" cache="Slicer_Category1" caption="Category" style="SlicerStyleDark1" rowHeight="241300"/>
  <slicer name="Month 3" xr10:uid="{00000000-0014-0000-FFFF-FFFF04000000}" cache="Slicer_Month1" caption="Month" columnCount="3"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lesData" displayName="SalesData" ref="A1:U1001" totalsRowShown="0">
  <autoFilter ref="A1:U1001" xr:uid="{00000000-0009-0000-0100-000002000000}"/>
  <tableColumns count="21">
    <tableColumn id="1" xr3:uid="{00000000-0010-0000-0000-000001000000}" name="Order ID"/>
    <tableColumn id="2" xr3:uid="{00000000-0010-0000-0000-000002000000}" name="Order Date" dataDxfId="3"/>
    <tableColumn id="3" xr3:uid="{00000000-0010-0000-0000-000003000000}" name="Customer ID"/>
    <tableColumn id="4" xr3:uid="{00000000-0010-0000-0000-000004000000}" name="Customer Name"/>
    <tableColumn id="5" xr3:uid="{00000000-0010-0000-0000-000005000000}" name="Product ID"/>
    <tableColumn id="6" xr3:uid="{00000000-0010-0000-0000-000006000000}" name="Product Name"/>
    <tableColumn id="7" xr3:uid="{00000000-0010-0000-0000-000007000000}" name="Category"/>
    <tableColumn id="8" xr3:uid="{00000000-0010-0000-0000-000008000000}" name="Region"/>
    <tableColumn id="9" xr3:uid="{00000000-0010-0000-0000-000009000000}" name="Salesperson"/>
    <tableColumn id="10" xr3:uid="{00000000-0010-0000-0000-00000A000000}" name="Quantity"/>
    <tableColumn id="11" xr3:uid="{00000000-0010-0000-0000-00000B000000}" name="Unit Price"/>
    <tableColumn id="12" xr3:uid="{00000000-0010-0000-0000-00000C000000}" name="Discount %"/>
    <tableColumn id="13" xr3:uid="{00000000-0010-0000-0000-00000D000000}" name="Sales"/>
    <tableColumn id="14" xr3:uid="{00000000-0010-0000-0000-00000E000000}" name="Cost"/>
    <tableColumn id="15" xr3:uid="{00000000-0010-0000-0000-00000F000000}" name="Profit"/>
    <tableColumn id="16" xr3:uid="{00000000-0010-0000-0000-000010000000}" name="Payment Mode"/>
    <tableColumn id="17" xr3:uid="{00000000-0010-0000-0000-000011000000}" name="Delivery Status"/>
    <tableColumn id="18" xr3:uid="{00000000-0010-0000-0000-000012000000}" name="Month" dataDxfId="2">
      <calculatedColumnFormula>TEXT(SalesData[[#This Row],[Order Date]],"mmm")</calculatedColumnFormula>
    </tableColumn>
    <tableColumn id="19" xr3:uid="{00000000-0010-0000-0000-000013000000}" name="Quarter">
      <calculatedColumnFormula>"Q"&amp;ROUNDUP(MONTH(SalesData[[#This Row],[Order Date]])/3,0)</calculatedColumnFormula>
    </tableColumn>
    <tableColumn id="20" xr3:uid="{00000000-0010-0000-0000-000014000000}" name="Year" dataDxfId="1">
      <calculatedColumnFormula>YEAR(SalesData[[#This Row],[Order Date]])</calculatedColumnFormula>
    </tableColumn>
    <tableColumn id="21" xr3:uid="{00000000-0010-0000-0000-000015000000}" name="Profit %" dataDxfId="0">
      <calculatedColumnFormula>SalesData[[#This Row],[Profit]]/SalesData[[#This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61"/>
  <sheetViews>
    <sheetView topLeftCell="A15" zoomScale="71" zoomScaleNormal="71" workbookViewId="0">
      <selection activeCell="P40" sqref="P40"/>
    </sheetView>
  </sheetViews>
  <sheetFormatPr defaultRowHeight="15" x14ac:dyDescent="0.25"/>
  <cols>
    <col min="1" max="1" width="17.7109375" customWidth="1"/>
    <col min="2" max="2" width="16.42578125" bestFit="1" customWidth="1"/>
    <col min="8" max="8" width="17.7109375" bestFit="1" customWidth="1"/>
    <col min="9" max="9" width="16.42578125" bestFit="1" customWidth="1"/>
    <col min="14" max="14" width="13.140625" bestFit="1" customWidth="1"/>
  </cols>
  <sheetData>
    <row r="2" spans="1:2" x14ac:dyDescent="0.25">
      <c r="A2" s="6" t="s">
        <v>1260</v>
      </c>
      <c r="B2" s="6"/>
    </row>
    <row r="3" spans="1:2" x14ac:dyDescent="0.25">
      <c r="A3" s="3" t="s">
        <v>1257</v>
      </c>
      <c r="B3" t="s">
        <v>1259</v>
      </c>
    </row>
    <row r="4" spans="1:2" x14ac:dyDescent="0.25">
      <c r="A4" s="4" t="s">
        <v>1265</v>
      </c>
      <c r="B4">
        <v>604065</v>
      </c>
    </row>
    <row r="5" spans="1:2" x14ac:dyDescent="0.25">
      <c r="A5" s="4" t="s">
        <v>1258</v>
      </c>
      <c r="B5">
        <v>604065</v>
      </c>
    </row>
    <row r="18" spans="1:2" x14ac:dyDescent="0.25">
      <c r="A18" s="7" t="s">
        <v>1262</v>
      </c>
      <c r="B18" s="7"/>
    </row>
    <row r="19" spans="1:2" x14ac:dyDescent="0.25">
      <c r="A19" s="3" t="s">
        <v>1257</v>
      </c>
      <c r="B19" t="s">
        <v>1259</v>
      </c>
    </row>
    <row r="20" spans="1:2" x14ac:dyDescent="0.25">
      <c r="A20" s="4" t="s">
        <v>52</v>
      </c>
      <c r="B20">
        <v>19040</v>
      </c>
    </row>
    <row r="21" spans="1:2" x14ac:dyDescent="0.25">
      <c r="A21" s="4" t="s">
        <v>1258</v>
      </c>
      <c r="B21">
        <v>19040</v>
      </c>
    </row>
    <row r="25" spans="1:2" x14ac:dyDescent="0.25">
      <c r="A25" s="7" t="s">
        <v>1263</v>
      </c>
      <c r="B25" s="7"/>
    </row>
    <row r="26" spans="1:2" x14ac:dyDescent="0.25">
      <c r="A26" s="3" t="s">
        <v>1257</v>
      </c>
      <c r="B26" t="s">
        <v>1261</v>
      </c>
    </row>
    <row r="27" spans="1:2" x14ac:dyDescent="0.25">
      <c r="A27" s="4" t="s">
        <v>23</v>
      </c>
      <c r="B27">
        <v>36600</v>
      </c>
    </row>
    <row r="28" spans="1:2" x14ac:dyDescent="0.25">
      <c r="A28" s="4" t="s">
        <v>32</v>
      </c>
      <c r="B28">
        <v>93810.000000000029</v>
      </c>
    </row>
    <row r="29" spans="1:2" x14ac:dyDescent="0.25">
      <c r="A29" s="4" t="s">
        <v>46</v>
      </c>
      <c r="B29">
        <v>2250</v>
      </c>
    </row>
    <row r="30" spans="1:2" x14ac:dyDescent="0.25">
      <c r="A30" s="4" t="s">
        <v>65</v>
      </c>
      <c r="B30">
        <v>17525</v>
      </c>
    </row>
    <row r="31" spans="1:2" x14ac:dyDescent="0.25">
      <c r="A31" s="4" t="s">
        <v>1258</v>
      </c>
      <c r="B31">
        <v>150185.00000000003</v>
      </c>
    </row>
    <row r="33" spans="1:8" x14ac:dyDescent="0.25">
      <c r="A33" s="6" t="s">
        <v>1264</v>
      </c>
      <c r="B33" s="6"/>
    </row>
    <row r="34" spans="1:8" x14ac:dyDescent="0.25">
      <c r="A34" s="3" t="s">
        <v>1257</v>
      </c>
      <c r="B34" t="s">
        <v>1259</v>
      </c>
    </row>
    <row r="35" spans="1:8" x14ac:dyDescent="0.25">
      <c r="A35" s="4" t="s">
        <v>58</v>
      </c>
      <c r="B35">
        <v>22950</v>
      </c>
    </row>
    <row r="36" spans="1:8" x14ac:dyDescent="0.25">
      <c r="A36" s="4" t="s">
        <v>40</v>
      </c>
      <c r="B36">
        <v>369990</v>
      </c>
      <c r="H36" s="4"/>
    </row>
    <row r="37" spans="1:8" x14ac:dyDescent="0.25">
      <c r="A37" s="4" t="s">
        <v>25</v>
      </c>
      <c r="B37">
        <v>207925</v>
      </c>
      <c r="H37" s="4"/>
    </row>
    <row r="38" spans="1:8" x14ac:dyDescent="0.25">
      <c r="A38" s="4" t="s">
        <v>54</v>
      </c>
      <c r="B38">
        <v>3200</v>
      </c>
      <c r="H38" s="4"/>
    </row>
    <row r="39" spans="1:8" x14ac:dyDescent="0.25">
      <c r="A39" s="4" t="s">
        <v>1258</v>
      </c>
      <c r="B39">
        <v>604065</v>
      </c>
      <c r="H39" s="4"/>
    </row>
    <row r="40" spans="1:8" x14ac:dyDescent="0.25">
      <c r="H40" s="4"/>
    </row>
    <row r="41" spans="1:8" x14ac:dyDescent="0.25">
      <c r="H41" s="4"/>
    </row>
    <row r="42" spans="1:8" x14ac:dyDescent="0.25">
      <c r="A42" s="3" t="s">
        <v>1257</v>
      </c>
      <c r="B42" t="s">
        <v>1259</v>
      </c>
      <c r="H42" s="4"/>
    </row>
    <row r="43" spans="1:8" x14ac:dyDescent="0.25">
      <c r="A43" s="4" t="s">
        <v>39</v>
      </c>
      <c r="B43">
        <v>604065</v>
      </c>
    </row>
    <row r="44" spans="1:8" x14ac:dyDescent="0.25">
      <c r="A44" s="4" t="s">
        <v>1258</v>
      </c>
      <c r="B44">
        <v>604065</v>
      </c>
    </row>
    <row r="60" spans="1:1" x14ac:dyDescent="0.25">
      <c r="A60" s="4"/>
    </row>
    <row r="61" spans="1:1" x14ac:dyDescent="0.25">
      <c r="A61" s="4"/>
    </row>
  </sheetData>
  <mergeCells count="4">
    <mergeCell ref="A2:B2"/>
    <mergeCell ref="A18:B18"/>
    <mergeCell ref="A25:B25"/>
    <mergeCell ref="A33:B33"/>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01"/>
  <sheetViews>
    <sheetView workbookViewId="0"/>
  </sheetViews>
  <sheetFormatPr defaultRowHeight="15" x14ac:dyDescent="0.25"/>
  <cols>
    <col min="1" max="1" width="10.5703125" customWidth="1"/>
    <col min="2" max="2" width="12.85546875" style="1" customWidth="1"/>
    <col min="3" max="3" width="14" customWidth="1"/>
    <col min="4" max="4" width="17.42578125" customWidth="1"/>
    <col min="5" max="5" width="12.28515625" customWidth="1"/>
    <col min="6" max="6" width="15.7109375" customWidth="1"/>
    <col min="7" max="7" width="11" customWidth="1"/>
    <col min="8" max="8" width="9.28515625" customWidth="1"/>
    <col min="9" max="9" width="13.85546875" customWidth="1"/>
    <col min="10" max="10" width="10.85546875" customWidth="1"/>
    <col min="11" max="11" width="11.85546875" customWidth="1"/>
    <col min="12" max="12" width="12.85546875" customWidth="1"/>
    <col min="16" max="16" width="16.7109375" customWidth="1"/>
    <col min="17" max="17" width="16.42578125" customWidth="1"/>
  </cols>
  <sheetData>
    <row r="1" spans="1:2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1253</v>
      </c>
      <c r="S1" s="2" t="s">
        <v>1254</v>
      </c>
      <c r="T1" s="2" t="s">
        <v>1255</v>
      </c>
      <c r="U1" t="s">
        <v>1256</v>
      </c>
    </row>
    <row r="2" spans="1:21" x14ac:dyDescent="0.25">
      <c r="A2" t="s">
        <v>17</v>
      </c>
      <c r="B2" s="1">
        <v>45968</v>
      </c>
      <c r="C2" t="s">
        <v>18</v>
      </c>
      <c r="D2" t="s">
        <v>19</v>
      </c>
      <c r="E2" t="s">
        <v>20</v>
      </c>
      <c r="F2" t="s">
        <v>21</v>
      </c>
      <c r="G2" t="s">
        <v>22</v>
      </c>
      <c r="H2" t="s">
        <v>23</v>
      </c>
      <c r="I2" t="s">
        <v>24</v>
      </c>
      <c r="J2">
        <v>10</v>
      </c>
      <c r="K2">
        <v>3500</v>
      </c>
      <c r="L2">
        <v>0</v>
      </c>
      <c r="M2">
        <v>35000</v>
      </c>
      <c r="N2">
        <v>24500</v>
      </c>
      <c r="O2">
        <v>10500</v>
      </c>
      <c r="P2" t="s">
        <v>25</v>
      </c>
      <c r="Q2" t="s">
        <v>26</v>
      </c>
      <c r="R2" t="str">
        <f>TEXT(SalesData[[#This Row],[Order Date]],"mmm")</f>
        <v>Nov</v>
      </c>
      <c r="S2" s="2" t="str">
        <f>"Q"&amp;ROUNDUP(MONTH(SalesData[[#This Row],[Order Date]])/3,0)</f>
        <v>Q4</v>
      </c>
      <c r="T2" s="2">
        <f>YEAR(SalesData[[#This Row],[Order Date]])</f>
        <v>2025</v>
      </c>
      <c r="U2">
        <f>SalesData[[#This Row],[Profit]]/SalesData[[#This Row],[Sales]]</f>
        <v>0.3</v>
      </c>
    </row>
    <row r="3" spans="1:21" x14ac:dyDescent="0.25">
      <c r="A3" t="s">
        <v>27</v>
      </c>
      <c r="B3" s="1">
        <v>45932</v>
      </c>
      <c r="C3" t="s">
        <v>28</v>
      </c>
      <c r="D3" t="s">
        <v>29</v>
      </c>
      <c r="E3" t="s">
        <v>30</v>
      </c>
      <c r="F3" t="s">
        <v>31</v>
      </c>
      <c r="G3" t="s">
        <v>22</v>
      </c>
      <c r="H3" t="s">
        <v>32</v>
      </c>
      <c r="I3" t="s">
        <v>24</v>
      </c>
      <c r="J3">
        <v>2</v>
      </c>
      <c r="K3">
        <v>800</v>
      </c>
      <c r="L3">
        <v>10</v>
      </c>
      <c r="M3">
        <v>1440</v>
      </c>
      <c r="N3">
        <v>1120</v>
      </c>
      <c r="O3">
        <v>320</v>
      </c>
      <c r="P3" t="s">
        <v>25</v>
      </c>
      <c r="Q3" t="s">
        <v>33</v>
      </c>
      <c r="R3" t="str">
        <f>TEXT(SalesData[[#This Row],[Order Date]],"mmm")</f>
        <v>Oct</v>
      </c>
      <c r="S3" s="2" t="str">
        <f>"Q"&amp;ROUNDUP(MONTH(SalesData[[#This Row],[Order Date]])/3,0)</f>
        <v>Q4</v>
      </c>
      <c r="T3">
        <f>YEAR(SalesData[[#This Row],[Order Date]])</f>
        <v>2025</v>
      </c>
      <c r="U3">
        <f>SalesData[[#This Row],[Profit]]/SalesData[[#This Row],[Sales]]</f>
        <v>0.22222222222222221</v>
      </c>
    </row>
    <row r="4" spans="1:21" x14ac:dyDescent="0.25">
      <c r="A4" t="s">
        <v>34</v>
      </c>
      <c r="B4" s="1">
        <v>45790</v>
      </c>
      <c r="C4" t="s">
        <v>35</v>
      </c>
      <c r="D4" t="s">
        <v>36</v>
      </c>
      <c r="E4" t="s">
        <v>37</v>
      </c>
      <c r="F4" t="s">
        <v>38</v>
      </c>
      <c r="G4" t="s">
        <v>22</v>
      </c>
      <c r="H4" t="s">
        <v>32</v>
      </c>
      <c r="I4" t="s">
        <v>39</v>
      </c>
      <c r="J4">
        <v>6</v>
      </c>
      <c r="K4">
        <v>55000</v>
      </c>
      <c r="L4">
        <v>5</v>
      </c>
      <c r="M4">
        <v>313500</v>
      </c>
      <c r="N4">
        <v>231000</v>
      </c>
      <c r="O4">
        <v>82500.000000000029</v>
      </c>
      <c r="P4" t="s">
        <v>40</v>
      </c>
      <c r="Q4" t="s">
        <v>26</v>
      </c>
      <c r="R4" t="str">
        <f>TEXT(SalesData[[#This Row],[Order Date]],"mmm")</f>
        <v>May</v>
      </c>
      <c r="S4" s="2" t="str">
        <f>"Q"&amp;ROUNDUP(MONTH(SalesData[[#This Row],[Order Date]])/3,0)</f>
        <v>Q2</v>
      </c>
      <c r="T4">
        <f>YEAR(SalesData[[#This Row],[Order Date]])</f>
        <v>2025</v>
      </c>
      <c r="U4">
        <f>SalesData[[#This Row],[Profit]]/SalesData[[#This Row],[Sales]]</f>
        <v>0.2631578947368422</v>
      </c>
    </row>
    <row r="5" spans="1:21" x14ac:dyDescent="0.25">
      <c r="A5" t="s">
        <v>41</v>
      </c>
      <c r="B5" s="1">
        <v>45669</v>
      </c>
      <c r="C5" t="s">
        <v>42</v>
      </c>
      <c r="D5" t="s">
        <v>43</v>
      </c>
      <c r="E5" t="s">
        <v>44</v>
      </c>
      <c r="F5" t="s">
        <v>45</v>
      </c>
      <c r="G5" t="s">
        <v>22</v>
      </c>
      <c r="H5" t="s">
        <v>46</v>
      </c>
      <c r="I5" t="s">
        <v>39</v>
      </c>
      <c r="J5">
        <v>3</v>
      </c>
      <c r="K5">
        <v>9500</v>
      </c>
      <c r="L5">
        <v>5</v>
      </c>
      <c r="M5">
        <v>27075</v>
      </c>
      <c r="N5">
        <v>19950</v>
      </c>
      <c r="O5">
        <v>7125</v>
      </c>
      <c r="P5" t="s">
        <v>25</v>
      </c>
      <c r="Q5" t="s">
        <v>26</v>
      </c>
      <c r="R5" t="str">
        <f>TEXT(SalesData[[#This Row],[Order Date]],"mmm")</f>
        <v>Jan</v>
      </c>
      <c r="S5" s="2" t="str">
        <f>"Q"&amp;ROUNDUP(MONTH(SalesData[[#This Row],[Order Date]])/3,0)</f>
        <v>Q1</v>
      </c>
      <c r="T5">
        <f>YEAR(SalesData[[#This Row],[Order Date]])</f>
        <v>2025</v>
      </c>
      <c r="U5">
        <f>SalesData[[#This Row],[Profit]]/SalesData[[#This Row],[Sales]]</f>
        <v>0.26315789473684209</v>
      </c>
    </row>
    <row r="6" spans="1:21" x14ac:dyDescent="0.25">
      <c r="A6" t="s">
        <v>47</v>
      </c>
      <c r="B6" s="1">
        <v>45965</v>
      </c>
      <c r="C6" t="s">
        <v>48</v>
      </c>
      <c r="D6" t="s">
        <v>49</v>
      </c>
      <c r="E6" t="s">
        <v>50</v>
      </c>
      <c r="F6" t="s">
        <v>51</v>
      </c>
      <c r="G6" t="s">
        <v>52</v>
      </c>
      <c r="H6" t="s">
        <v>23</v>
      </c>
      <c r="I6" t="s">
        <v>53</v>
      </c>
      <c r="J6">
        <v>8</v>
      </c>
      <c r="K6">
        <v>3200</v>
      </c>
      <c r="L6">
        <v>15</v>
      </c>
      <c r="M6">
        <v>21760</v>
      </c>
      <c r="N6">
        <v>17920</v>
      </c>
      <c r="O6">
        <v>3840</v>
      </c>
      <c r="P6" t="s">
        <v>54</v>
      </c>
      <c r="Q6" t="s">
        <v>33</v>
      </c>
      <c r="R6" t="str">
        <f>TEXT(SalesData[[#This Row],[Order Date]],"mmm")</f>
        <v>Nov</v>
      </c>
      <c r="S6" s="2" t="str">
        <f>"Q"&amp;ROUNDUP(MONTH(SalesData[[#This Row],[Order Date]])/3,0)</f>
        <v>Q4</v>
      </c>
      <c r="T6">
        <f>YEAR(SalesData[[#This Row],[Order Date]])</f>
        <v>2025</v>
      </c>
      <c r="U6">
        <f>SalesData[[#This Row],[Profit]]/SalesData[[#This Row],[Sales]]</f>
        <v>0.17647058823529413</v>
      </c>
    </row>
    <row r="7" spans="1:21" x14ac:dyDescent="0.25">
      <c r="A7" t="s">
        <v>55</v>
      </c>
      <c r="B7" s="1">
        <v>46012</v>
      </c>
      <c r="C7" t="s">
        <v>56</v>
      </c>
      <c r="D7" t="s">
        <v>57</v>
      </c>
      <c r="E7" t="s">
        <v>20</v>
      </c>
      <c r="F7" t="s">
        <v>21</v>
      </c>
      <c r="G7" t="s">
        <v>22</v>
      </c>
      <c r="H7" t="s">
        <v>32</v>
      </c>
      <c r="I7" t="s">
        <v>39</v>
      </c>
      <c r="J7">
        <v>10</v>
      </c>
      <c r="K7">
        <v>3500</v>
      </c>
      <c r="L7">
        <v>5</v>
      </c>
      <c r="M7">
        <v>33250</v>
      </c>
      <c r="N7">
        <v>24500</v>
      </c>
      <c r="O7">
        <v>8750</v>
      </c>
      <c r="P7" t="s">
        <v>58</v>
      </c>
      <c r="Q7" t="s">
        <v>26</v>
      </c>
      <c r="R7" t="str">
        <f>TEXT(SalesData[[#This Row],[Order Date]],"mmm")</f>
        <v>Dec</v>
      </c>
      <c r="S7" s="2" t="str">
        <f>"Q"&amp;ROUNDUP(MONTH(SalesData[[#This Row],[Order Date]])/3,0)</f>
        <v>Q4</v>
      </c>
      <c r="T7">
        <f>YEAR(SalesData[[#This Row],[Order Date]])</f>
        <v>2025</v>
      </c>
      <c r="U7">
        <f>SalesData[[#This Row],[Profit]]/SalesData[[#This Row],[Sales]]</f>
        <v>0.26315789473684209</v>
      </c>
    </row>
    <row r="8" spans="1:21" x14ac:dyDescent="0.25">
      <c r="A8" t="s">
        <v>59</v>
      </c>
      <c r="B8" s="1">
        <v>45807</v>
      </c>
      <c r="C8" t="s">
        <v>60</v>
      </c>
      <c r="D8" t="s">
        <v>61</v>
      </c>
      <c r="E8" t="s">
        <v>62</v>
      </c>
      <c r="F8" t="s">
        <v>63</v>
      </c>
      <c r="G8" t="s">
        <v>64</v>
      </c>
      <c r="H8" t="s">
        <v>65</v>
      </c>
      <c r="I8" t="s">
        <v>66</v>
      </c>
      <c r="J8">
        <v>5</v>
      </c>
      <c r="K8">
        <v>8500</v>
      </c>
      <c r="L8">
        <v>20</v>
      </c>
      <c r="M8">
        <v>34000</v>
      </c>
      <c r="N8">
        <v>29750</v>
      </c>
      <c r="O8">
        <v>4250.0000000000036</v>
      </c>
      <c r="P8" t="s">
        <v>40</v>
      </c>
      <c r="Q8" t="s">
        <v>26</v>
      </c>
      <c r="R8" t="str">
        <f>TEXT(SalesData[[#This Row],[Order Date]],"mmm")</f>
        <v>May</v>
      </c>
      <c r="S8" s="2" t="str">
        <f>"Q"&amp;ROUNDUP(MONTH(SalesData[[#This Row],[Order Date]])/3,0)</f>
        <v>Q2</v>
      </c>
      <c r="T8">
        <f>YEAR(SalesData[[#This Row],[Order Date]])</f>
        <v>2025</v>
      </c>
      <c r="U8">
        <f>SalesData[[#This Row],[Profit]]/SalesData[[#This Row],[Sales]]</f>
        <v>0.12500000000000011</v>
      </c>
    </row>
    <row r="9" spans="1:21" x14ac:dyDescent="0.25">
      <c r="A9" t="s">
        <v>67</v>
      </c>
      <c r="B9" s="1">
        <v>45858</v>
      </c>
      <c r="C9" t="s">
        <v>68</v>
      </c>
      <c r="D9" t="s">
        <v>69</v>
      </c>
      <c r="E9" t="s">
        <v>70</v>
      </c>
      <c r="F9" t="s">
        <v>71</v>
      </c>
      <c r="G9" t="s">
        <v>22</v>
      </c>
      <c r="H9" t="s">
        <v>32</v>
      </c>
      <c r="I9" t="s">
        <v>72</v>
      </c>
      <c r="J9">
        <v>3</v>
      </c>
      <c r="K9">
        <v>1500</v>
      </c>
      <c r="L9">
        <v>15</v>
      </c>
      <c r="M9">
        <v>3825</v>
      </c>
      <c r="N9">
        <v>3150</v>
      </c>
      <c r="O9">
        <v>675</v>
      </c>
      <c r="P9" t="s">
        <v>25</v>
      </c>
      <c r="Q9" t="s">
        <v>26</v>
      </c>
      <c r="R9" t="str">
        <f>TEXT(SalesData[[#This Row],[Order Date]],"mmm")</f>
        <v>Jul</v>
      </c>
      <c r="S9" s="2" t="str">
        <f>"Q"&amp;ROUNDUP(MONTH(SalesData[[#This Row],[Order Date]])/3,0)</f>
        <v>Q3</v>
      </c>
      <c r="T9">
        <f>YEAR(SalesData[[#This Row],[Order Date]])</f>
        <v>2025</v>
      </c>
      <c r="U9">
        <f>SalesData[[#This Row],[Profit]]/SalesData[[#This Row],[Sales]]</f>
        <v>0.17647058823529413</v>
      </c>
    </row>
    <row r="10" spans="1:21" x14ac:dyDescent="0.25">
      <c r="A10" t="s">
        <v>73</v>
      </c>
      <c r="B10" s="1">
        <v>45681</v>
      </c>
      <c r="C10" t="s">
        <v>74</v>
      </c>
      <c r="D10" t="s">
        <v>75</v>
      </c>
      <c r="E10" t="s">
        <v>62</v>
      </c>
      <c r="F10" t="s">
        <v>63</v>
      </c>
      <c r="G10" t="s">
        <v>64</v>
      </c>
      <c r="H10" t="s">
        <v>46</v>
      </c>
      <c r="I10" t="s">
        <v>66</v>
      </c>
      <c r="J10">
        <v>1</v>
      </c>
      <c r="K10">
        <v>8500</v>
      </c>
      <c r="L10">
        <v>15</v>
      </c>
      <c r="M10">
        <v>7225</v>
      </c>
      <c r="N10">
        <v>5950</v>
      </c>
      <c r="O10">
        <v>1275</v>
      </c>
      <c r="P10" t="s">
        <v>54</v>
      </c>
      <c r="Q10" t="s">
        <v>76</v>
      </c>
      <c r="R10" t="str">
        <f>TEXT(SalesData[[#This Row],[Order Date]],"mmm")</f>
        <v>Jan</v>
      </c>
      <c r="S10" s="2" t="str">
        <f>"Q"&amp;ROUNDUP(MONTH(SalesData[[#This Row],[Order Date]])/3,0)</f>
        <v>Q1</v>
      </c>
      <c r="T10">
        <f>YEAR(SalesData[[#This Row],[Order Date]])</f>
        <v>2025</v>
      </c>
      <c r="U10">
        <f>SalesData[[#This Row],[Profit]]/SalesData[[#This Row],[Sales]]</f>
        <v>0.17647058823529413</v>
      </c>
    </row>
    <row r="11" spans="1:21" x14ac:dyDescent="0.25">
      <c r="A11" t="s">
        <v>77</v>
      </c>
      <c r="B11" s="1">
        <v>45966</v>
      </c>
      <c r="C11" t="s">
        <v>78</v>
      </c>
      <c r="D11" t="s">
        <v>79</v>
      </c>
      <c r="E11" t="s">
        <v>44</v>
      </c>
      <c r="F11" t="s">
        <v>45</v>
      </c>
      <c r="G11" t="s">
        <v>22</v>
      </c>
      <c r="H11" t="s">
        <v>46</v>
      </c>
      <c r="I11" t="s">
        <v>80</v>
      </c>
      <c r="J11">
        <v>5</v>
      </c>
      <c r="K11">
        <v>9500</v>
      </c>
      <c r="L11">
        <v>5</v>
      </c>
      <c r="M11">
        <v>45125</v>
      </c>
      <c r="N11">
        <v>33250</v>
      </c>
      <c r="O11">
        <v>11875</v>
      </c>
      <c r="P11" t="s">
        <v>58</v>
      </c>
      <c r="Q11" t="s">
        <v>26</v>
      </c>
      <c r="R11" t="str">
        <f>TEXT(SalesData[[#This Row],[Order Date]],"mmm")</f>
        <v>Nov</v>
      </c>
      <c r="S11" s="2" t="str">
        <f>"Q"&amp;ROUNDUP(MONTH(SalesData[[#This Row],[Order Date]])/3,0)</f>
        <v>Q4</v>
      </c>
      <c r="T11">
        <f>YEAR(SalesData[[#This Row],[Order Date]])</f>
        <v>2025</v>
      </c>
      <c r="U11">
        <f>SalesData[[#This Row],[Profit]]/SalesData[[#This Row],[Sales]]</f>
        <v>0.26315789473684209</v>
      </c>
    </row>
    <row r="12" spans="1:21" x14ac:dyDescent="0.25">
      <c r="A12" t="s">
        <v>81</v>
      </c>
      <c r="B12" s="1">
        <v>45772</v>
      </c>
      <c r="C12" t="s">
        <v>82</v>
      </c>
      <c r="D12" t="s">
        <v>83</v>
      </c>
      <c r="E12" t="s">
        <v>62</v>
      </c>
      <c r="F12" t="s">
        <v>63</v>
      </c>
      <c r="G12" t="s">
        <v>64</v>
      </c>
      <c r="H12" t="s">
        <v>32</v>
      </c>
      <c r="I12" t="s">
        <v>53</v>
      </c>
      <c r="J12">
        <v>4</v>
      </c>
      <c r="K12">
        <v>8500</v>
      </c>
      <c r="L12">
        <v>0</v>
      </c>
      <c r="M12">
        <v>34000</v>
      </c>
      <c r="N12">
        <v>23800</v>
      </c>
      <c r="O12">
        <v>10200</v>
      </c>
      <c r="P12" t="s">
        <v>25</v>
      </c>
      <c r="Q12" t="s">
        <v>26</v>
      </c>
      <c r="R12" t="str">
        <f>TEXT(SalesData[[#This Row],[Order Date]],"mmm")</f>
        <v>Apr</v>
      </c>
      <c r="S12" s="2" t="str">
        <f>"Q"&amp;ROUNDUP(MONTH(SalesData[[#This Row],[Order Date]])/3,0)</f>
        <v>Q2</v>
      </c>
      <c r="T12">
        <f>YEAR(SalesData[[#This Row],[Order Date]])</f>
        <v>2025</v>
      </c>
      <c r="U12">
        <f>SalesData[[#This Row],[Profit]]/SalesData[[#This Row],[Sales]]</f>
        <v>0.3</v>
      </c>
    </row>
    <row r="13" spans="1:21" x14ac:dyDescent="0.25">
      <c r="A13" t="s">
        <v>84</v>
      </c>
      <c r="B13" s="1">
        <v>45688</v>
      </c>
      <c r="C13" t="s">
        <v>85</v>
      </c>
      <c r="D13" t="s">
        <v>86</v>
      </c>
      <c r="E13" t="s">
        <v>50</v>
      </c>
      <c r="F13" t="s">
        <v>51</v>
      </c>
      <c r="G13" t="s">
        <v>52</v>
      </c>
      <c r="H13" t="s">
        <v>32</v>
      </c>
      <c r="I13" t="s">
        <v>53</v>
      </c>
      <c r="J13">
        <v>2</v>
      </c>
      <c r="K13">
        <v>3200</v>
      </c>
      <c r="L13">
        <v>5</v>
      </c>
      <c r="M13">
        <v>6080</v>
      </c>
      <c r="N13">
        <v>4480</v>
      </c>
      <c r="O13">
        <v>1600</v>
      </c>
      <c r="P13" t="s">
        <v>54</v>
      </c>
      <c r="Q13" t="s">
        <v>33</v>
      </c>
      <c r="R13" t="str">
        <f>TEXT(SalesData[[#This Row],[Order Date]],"mmm")</f>
        <v>Jan</v>
      </c>
      <c r="S13" s="2" t="str">
        <f>"Q"&amp;ROUNDUP(MONTH(SalesData[[#This Row],[Order Date]])/3,0)</f>
        <v>Q1</v>
      </c>
      <c r="T13">
        <f>YEAR(SalesData[[#This Row],[Order Date]])</f>
        <v>2025</v>
      </c>
      <c r="U13">
        <f>SalesData[[#This Row],[Profit]]/SalesData[[#This Row],[Sales]]</f>
        <v>0.26315789473684209</v>
      </c>
    </row>
    <row r="14" spans="1:21" x14ac:dyDescent="0.25">
      <c r="A14" t="s">
        <v>87</v>
      </c>
      <c r="B14" s="1">
        <v>45942</v>
      </c>
      <c r="C14" t="s">
        <v>88</v>
      </c>
      <c r="D14" t="s">
        <v>89</v>
      </c>
      <c r="E14" t="s">
        <v>30</v>
      </c>
      <c r="F14" t="s">
        <v>31</v>
      </c>
      <c r="G14" t="s">
        <v>22</v>
      </c>
      <c r="H14" t="s">
        <v>32</v>
      </c>
      <c r="I14" t="s">
        <v>24</v>
      </c>
      <c r="J14">
        <v>5</v>
      </c>
      <c r="K14">
        <v>800</v>
      </c>
      <c r="L14">
        <v>15</v>
      </c>
      <c r="M14">
        <v>3400</v>
      </c>
      <c r="N14">
        <v>2800</v>
      </c>
      <c r="O14">
        <v>600</v>
      </c>
      <c r="P14" t="s">
        <v>40</v>
      </c>
      <c r="Q14" t="s">
        <v>33</v>
      </c>
      <c r="R14" t="str">
        <f>TEXT(SalesData[[#This Row],[Order Date]],"mmm")</f>
        <v>Oct</v>
      </c>
      <c r="S14" s="2" t="str">
        <f>"Q"&amp;ROUNDUP(MONTH(SalesData[[#This Row],[Order Date]])/3,0)</f>
        <v>Q4</v>
      </c>
      <c r="T14">
        <f>YEAR(SalesData[[#This Row],[Order Date]])</f>
        <v>2025</v>
      </c>
      <c r="U14">
        <f>SalesData[[#This Row],[Profit]]/SalesData[[#This Row],[Sales]]</f>
        <v>0.17647058823529413</v>
      </c>
    </row>
    <row r="15" spans="1:21" x14ac:dyDescent="0.25">
      <c r="A15" t="s">
        <v>90</v>
      </c>
      <c r="B15" s="1">
        <v>45841</v>
      </c>
      <c r="C15" t="s">
        <v>91</v>
      </c>
      <c r="D15" t="s">
        <v>92</v>
      </c>
      <c r="E15" t="s">
        <v>93</v>
      </c>
      <c r="F15" t="s">
        <v>94</v>
      </c>
      <c r="G15" t="s">
        <v>64</v>
      </c>
      <c r="H15" t="s">
        <v>65</v>
      </c>
      <c r="I15" t="s">
        <v>72</v>
      </c>
      <c r="J15">
        <v>3</v>
      </c>
      <c r="K15">
        <v>4500</v>
      </c>
      <c r="L15">
        <v>0</v>
      </c>
      <c r="M15">
        <v>13500</v>
      </c>
      <c r="N15">
        <v>9450</v>
      </c>
      <c r="O15">
        <v>4050</v>
      </c>
      <c r="P15" t="s">
        <v>54</v>
      </c>
      <c r="Q15" t="s">
        <v>26</v>
      </c>
      <c r="R15" t="str">
        <f>TEXT(SalesData[[#This Row],[Order Date]],"mmm")</f>
        <v>Jul</v>
      </c>
      <c r="S15" s="2" t="str">
        <f>"Q"&amp;ROUNDUP(MONTH(SalesData[[#This Row],[Order Date]])/3,0)</f>
        <v>Q3</v>
      </c>
      <c r="T15">
        <f>YEAR(SalesData[[#This Row],[Order Date]])</f>
        <v>2025</v>
      </c>
      <c r="U15">
        <f>SalesData[[#This Row],[Profit]]/SalesData[[#This Row],[Sales]]</f>
        <v>0.3</v>
      </c>
    </row>
    <row r="16" spans="1:21" x14ac:dyDescent="0.25">
      <c r="A16" t="s">
        <v>95</v>
      </c>
      <c r="B16" s="1">
        <v>45708</v>
      </c>
      <c r="C16" t="s">
        <v>96</v>
      </c>
      <c r="D16" t="s">
        <v>97</v>
      </c>
      <c r="E16" t="s">
        <v>20</v>
      </c>
      <c r="F16" t="s">
        <v>21</v>
      </c>
      <c r="G16" t="s">
        <v>22</v>
      </c>
      <c r="H16" t="s">
        <v>32</v>
      </c>
      <c r="I16" t="s">
        <v>80</v>
      </c>
      <c r="J16">
        <v>6</v>
      </c>
      <c r="K16">
        <v>3500</v>
      </c>
      <c r="L16">
        <v>15</v>
      </c>
      <c r="M16">
        <v>17850</v>
      </c>
      <c r="N16">
        <v>14700</v>
      </c>
      <c r="O16">
        <v>3150.0000000000018</v>
      </c>
      <c r="P16" t="s">
        <v>40</v>
      </c>
      <c r="Q16" t="s">
        <v>33</v>
      </c>
      <c r="R16" t="str">
        <f>TEXT(SalesData[[#This Row],[Order Date]],"mmm")</f>
        <v>Feb</v>
      </c>
      <c r="S16" s="2" t="str">
        <f>"Q"&amp;ROUNDUP(MONTH(SalesData[[#This Row],[Order Date]])/3,0)</f>
        <v>Q1</v>
      </c>
      <c r="T16">
        <f>YEAR(SalesData[[#This Row],[Order Date]])</f>
        <v>2025</v>
      </c>
      <c r="U16">
        <f>SalesData[[#This Row],[Profit]]/SalesData[[#This Row],[Sales]]</f>
        <v>0.17647058823529421</v>
      </c>
    </row>
    <row r="17" spans="1:21" x14ac:dyDescent="0.25">
      <c r="A17" t="s">
        <v>98</v>
      </c>
      <c r="B17" s="1">
        <v>45905</v>
      </c>
      <c r="C17" t="s">
        <v>99</v>
      </c>
      <c r="D17" t="s">
        <v>100</v>
      </c>
      <c r="E17" t="s">
        <v>44</v>
      </c>
      <c r="F17" t="s">
        <v>45</v>
      </c>
      <c r="G17" t="s">
        <v>22</v>
      </c>
      <c r="H17" t="s">
        <v>32</v>
      </c>
      <c r="I17" t="s">
        <v>66</v>
      </c>
      <c r="J17">
        <v>8</v>
      </c>
      <c r="K17">
        <v>9500</v>
      </c>
      <c r="L17">
        <v>0</v>
      </c>
      <c r="M17">
        <v>76000</v>
      </c>
      <c r="N17">
        <v>53200</v>
      </c>
      <c r="O17">
        <v>22800</v>
      </c>
      <c r="P17" t="s">
        <v>25</v>
      </c>
      <c r="Q17" t="s">
        <v>26</v>
      </c>
      <c r="R17" t="str">
        <f>TEXT(SalesData[[#This Row],[Order Date]],"mmm")</f>
        <v>Sep</v>
      </c>
      <c r="S17" s="2" t="str">
        <f>"Q"&amp;ROUNDUP(MONTH(SalesData[[#This Row],[Order Date]])/3,0)</f>
        <v>Q3</v>
      </c>
      <c r="T17">
        <f>YEAR(SalesData[[#This Row],[Order Date]])</f>
        <v>2025</v>
      </c>
      <c r="U17">
        <f>SalesData[[#This Row],[Profit]]/SalesData[[#This Row],[Sales]]</f>
        <v>0.3</v>
      </c>
    </row>
    <row r="18" spans="1:21" x14ac:dyDescent="0.25">
      <c r="A18" t="s">
        <v>101</v>
      </c>
      <c r="B18" s="1">
        <v>45935</v>
      </c>
      <c r="C18" t="s">
        <v>102</v>
      </c>
      <c r="D18" t="s">
        <v>103</v>
      </c>
      <c r="E18" t="s">
        <v>70</v>
      </c>
      <c r="F18" t="s">
        <v>71</v>
      </c>
      <c r="G18" t="s">
        <v>22</v>
      </c>
      <c r="H18" t="s">
        <v>32</v>
      </c>
      <c r="I18" t="s">
        <v>66</v>
      </c>
      <c r="J18">
        <v>1</v>
      </c>
      <c r="K18">
        <v>1500</v>
      </c>
      <c r="L18">
        <v>15</v>
      </c>
      <c r="M18">
        <v>1275</v>
      </c>
      <c r="N18">
        <v>1050</v>
      </c>
      <c r="O18">
        <v>225</v>
      </c>
      <c r="P18" t="s">
        <v>25</v>
      </c>
      <c r="Q18" t="s">
        <v>33</v>
      </c>
      <c r="R18" t="str">
        <f>TEXT(SalesData[[#This Row],[Order Date]],"mmm")</f>
        <v>Oct</v>
      </c>
      <c r="S18" s="2" t="str">
        <f>"Q"&amp;ROUNDUP(MONTH(SalesData[[#This Row],[Order Date]])/3,0)</f>
        <v>Q4</v>
      </c>
      <c r="T18">
        <f>YEAR(SalesData[[#This Row],[Order Date]])</f>
        <v>2025</v>
      </c>
      <c r="U18">
        <f>SalesData[[#This Row],[Profit]]/SalesData[[#This Row],[Sales]]</f>
        <v>0.17647058823529413</v>
      </c>
    </row>
    <row r="19" spans="1:21" x14ac:dyDescent="0.25">
      <c r="A19" t="s">
        <v>104</v>
      </c>
      <c r="B19" s="1">
        <v>45706</v>
      </c>
      <c r="C19" t="s">
        <v>105</v>
      </c>
      <c r="D19" t="s">
        <v>83</v>
      </c>
      <c r="E19" t="s">
        <v>62</v>
      </c>
      <c r="F19" t="s">
        <v>63</v>
      </c>
      <c r="G19" t="s">
        <v>64</v>
      </c>
      <c r="H19" t="s">
        <v>23</v>
      </c>
      <c r="I19" t="s">
        <v>80</v>
      </c>
      <c r="J19">
        <v>10</v>
      </c>
      <c r="K19">
        <v>8500</v>
      </c>
      <c r="L19">
        <v>5</v>
      </c>
      <c r="M19">
        <v>80750</v>
      </c>
      <c r="N19">
        <v>59499.999999999993</v>
      </c>
      <c r="O19">
        <v>21250.000000000011</v>
      </c>
      <c r="P19" t="s">
        <v>40</v>
      </c>
      <c r="Q19" t="s">
        <v>76</v>
      </c>
      <c r="R19" t="str">
        <f>TEXT(SalesData[[#This Row],[Order Date]],"mmm")</f>
        <v>Feb</v>
      </c>
      <c r="S19" s="2" t="str">
        <f>"Q"&amp;ROUNDUP(MONTH(SalesData[[#This Row],[Order Date]])/3,0)</f>
        <v>Q1</v>
      </c>
      <c r="T19">
        <f>YEAR(SalesData[[#This Row],[Order Date]])</f>
        <v>2025</v>
      </c>
      <c r="U19">
        <f>SalesData[[#This Row],[Profit]]/SalesData[[#This Row],[Sales]]</f>
        <v>0.26315789473684226</v>
      </c>
    </row>
    <row r="20" spans="1:21" x14ac:dyDescent="0.25">
      <c r="A20" t="s">
        <v>106</v>
      </c>
      <c r="B20" s="1">
        <v>46004</v>
      </c>
      <c r="C20" t="s">
        <v>107</v>
      </c>
      <c r="D20" t="s">
        <v>108</v>
      </c>
      <c r="E20" t="s">
        <v>44</v>
      </c>
      <c r="F20" t="s">
        <v>45</v>
      </c>
      <c r="G20" t="s">
        <v>22</v>
      </c>
      <c r="H20" t="s">
        <v>65</v>
      </c>
      <c r="I20" t="s">
        <v>80</v>
      </c>
      <c r="J20">
        <v>5</v>
      </c>
      <c r="K20">
        <v>9500</v>
      </c>
      <c r="L20">
        <v>0</v>
      </c>
      <c r="M20">
        <v>47500</v>
      </c>
      <c r="N20">
        <v>33250</v>
      </c>
      <c r="O20">
        <v>14250</v>
      </c>
      <c r="P20" t="s">
        <v>58</v>
      </c>
      <c r="Q20" t="s">
        <v>33</v>
      </c>
      <c r="R20" t="str">
        <f>TEXT(SalesData[[#This Row],[Order Date]],"mmm")</f>
        <v>Dec</v>
      </c>
      <c r="S20" s="2" t="str">
        <f>"Q"&amp;ROUNDUP(MONTH(SalesData[[#This Row],[Order Date]])/3,0)</f>
        <v>Q4</v>
      </c>
      <c r="T20">
        <f>YEAR(SalesData[[#This Row],[Order Date]])</f>
        <v>2025</v>
      </c>
      <c r="U20">
        <f>SalesData[[#This Row],[Profit]]/SalesData[[#This Row],[Sales]]</f>
        <v>0.3</v>
      </c>
    </row>
    <row r="21" spans="1:21" x14ac:dyDescent="0.25">
      <c r="A21" t="s">
        <v>109</v>
      </c>
      <c r="B21" s="1">
        <v>45717</v>
      </c>
      <c r="C21" t="s">
        <v>74</v>
      </c>
      <c r="D21" t="s">
        <v>110</v>
      </c>
      <c r="E21" t="s">
        <v>30</v>
      </c>
      <c r="F21" t="s">
        <v>31</v>
      </c>
      <c r="G21" t="s">
        <v>22</v>
      </c>
      <c r="H21" t="s">
        <v>32</v>
      </c>
      <c r="I21" t="s">
        <v>66</v>
      </c>
      <c r="J21">
        <v>1</v>
      </c>
      <c r="K21">
        <v>800</v>
      </c>
      <c r="L21">
        <v>15</v>
      </c>
      <c r="M21">
        <v>680</v>
      </c>
      <c r="N21">
        <v>560</v>
      </c>
      <c r="O21">
        <v>120</v>
      </c>
      <c r="P21" t="s">
        <v>58</v>
      </c>
      <c r="Q21" t="s">
        <v>33</v>
      </c>
      <c r="R21" t="str">
        <f>TEXT(SalesData[[#This Row],[Order Date]],"mmm")</f>
        <v>Mar</v>
      </c>
      <c r="S21" s="2" t="str">
        <f>"Q"&amp;ROUNDUP(MONTH(SalesData[[#This Row],[Order Date]])/3,0)</f>
        <v>Q1</v>
      </c>
      <c r="T21">
        <f>YEAR(SalesData[[#This Row],[Order Date]])</f>
        <v>2025</v>
      </c>
      <c r="U21">
        <f>SalesData[[#This Row],[Profit]]/SalesData[[#This Row],[Sales]]</f>
        <v>0.17647058823529413</v>
      </c>
    </row>
    <row r="22" spans="1:21" x14ac:dyDescent="0.25">
      <c r="A22" t="s">
        <v>111</v>
      </c>
      <c r="B22" s="1">
        <v>45692</v>
      </c>
      <c r="C22" t="s">
        <v>112</v>
      </c>
      <c r="D22" t="s">
        <v>113</v>
      </c>
      <c r="E22" t="s">
        <v>70</v>
      </c>
      <c r="F22" t="s">
        <v>71</v>
      </c>
      <c r="G22" t="s">
        <v>22</v>
      </c>
      <c r="H22" t="s">
        <v>46</v>
      </c>
      <c r="I22" t="s">
        <v>72</v>
      </c>
      <c r="J22">
        <v>8</v>
      </c>
      <c r="K22">
        <v>1500</v>
      </c>
      <c r="L22">
        <v>0</v>
      </c>
      <c r="M22">
        <v>12000</v>
      </c>
      <c r="N22">
        <v>8400</v>
      </c>
      <c r="O22">
        <v>3600</v>
      </c>
      <c r="P22" t="s">
        <v>40</v>
      </c>
      <c r="Q22" t="s">
        <v>76</v>
      </c>
      <c r="R22" t="str">
        <f>TEXT(SalesData[[#This Row],[Order Date]],"mmm")</f>
        <v>Feb</v>
      </c>
      <c r="S22" s="2" t="str">
        <f>"Q"&amp;ROUNDUP(MONTH(SalesData[[#This Row],[Order Date]])/3,0)</f>
        <v>Q1</v>
      </c>
      <c r="T22">
        <f>YEAR(SalesData[[#This Row],[Order Date]])</f>
        <v>2025</v>
      </c>
      <c r="U22">
        <f>SalesData[[#This Row],[Profit]]/SalesData[[#This Row],[Sales]]</f>
        <v>0.3</v>
      </c>
    </row>
    <row r="23" spans="1:21" x14ac:dyDescent="0.25">
      <c r="A23" t="s">
        <v>114</v>
      </c>
      <c r="B23" s="1">
        <v>45716</v>
      </c>
      <c r="C23" t="s">
        <v>115</v>
      </c>
      <c r="D23" t="s">
        <v>116</v>
      </c>
      <c r="E23" t="s">
        <v>44</v>
      </c>
      <c r="F23" t="s">
        <v>45</v>
      </c>
      <c r="G23" t="s">
        <v>22</v>
      </c>
      <c r="H23" t="s">
        <v>46</v>
      </c>
      <c r="I23" t="s">
        <v>72</v>
      </c>
      <c r="J23">
        <v>1</v>
      </c>
      <c r="K23">
        <v>9500</v>
      </c>
      <c r="L23">
        <v>0</v>
      </c>
      <c r="M23">
        <v>9500</v>
      </c>
      <c r="N23">
        <v>6650</v>
      </c>
      <c r="O23">
        <v>2850</v>
      </c>
      <c r="P23" t="s">
        <v>25</v>
      </c>
      <c r="Q23" t="s">
        <v>76</v>
      </c>
      <c r="R23" t="str">
        <f>TEXT(SalesData[[#This Row],[Order Date]],"mmm")</f>
        <v>Feb</v>
      </c>
      <c r="S23" s="2" t="str">
        <f>"Q"&amp;ROUNDUP(MONTH(SalesData[[#This Row],[Order Date]])/3,0)</f>
        <v>Q1</v>
      </c>
      <c r="T23">
        <f>YEAR(SalesData[[#This Row],[Order Date]])</f>
        <v>2025</v>
      </c>
      <c r="U23">
        <f>SalesData[[#This Row],[Profit]]/SalesData[[#This Row],[Sales]]</f>
        <v>0.3</v>
      </c>
    </row>
    <row r="24" spans="1:21" x14ac:dyDescent="0.25">
      <c r="A24" t="s">
        <v>117</v>
      </c>
      <c r="B24" s="1">
        <v>45979</v>
      </c>
      <c r="C24" t="s">
        <v>118</v>
      </c>
      <c r="D24" t="s">
        <v>119</v>
      </c>
      <c r="E24" t="s">
        <v>44</v>
      </c>
      <c r="F24" t="s">
        <v>45</v>
      </c>
      <c r="G24" t="s">
        <v>22</v>
      </c>
      <c r="H24" t="s">
        <v>46</v>
      </c>
      <c r="I24" t="s">
        <v>72</v>
      </c>
      <c r="J24">
        <v>6</v>
      </c>
      <c r="K24">
        <v>9500</v>
      </c>
      <c r="L24">
        <v>10</v>
      </c>
      <c r="M24">
        <v>51300</v>
      </c>
      <c r="N24">
        <v>39900</v>
      </c>
      <c r="O24">
        <v>11400</v>
      </c>
      <c r="P24" t="s">
        <v>40</v>
      </c>
      <c r="Q24" t="s">
        <v>33</v>
      </c>
      <c r="R24" t="str">
        <f>TEXT(SalesData[[#This Row],[Order Date]],"mmm")</f>
        <v>Nov</v>
      </c>
      <c r="S24" s="2" t="str">
        <f>"Q"&amp;ROUNDUP(MONTH(SalesData[[#This Row],[Order Date]])/3,0)</f>
        <v>Q4</v>
      </c>
      <c r="T24">
        <f>YEAR(SalesData[[#This Row],[Order Date]])</f>
        <v>2025</v>
      </c>
      <c r="U24">
        <f>SalesData[[#This Row],[Profit]]/SalesData[[#This Row],[Sales]]</f>
        <v>0.22222222222222221</v>
      </c>
    </row>
    <row r="25" spans="1:21" x14ac:dyDescent="0.25">
      <c r="A25" t="s">
        <v>120</v>
      </c>
      <c r="B25" s="1">
        <v>45947</v>
      </c>
      <c r="C25" t="s">
        <v>121</v>
      </c>
      <c r="D25" t="s">
        <v>100</v>
      </c>
      <c r="E25" t="s">
        <v>30</v>
      </c>
      <c r="F25" t="s">
        <v>31</v>
      </c>
      <c r="G25" t="s">
        <v>22</v>
      </c>
      <c r="H25" t="s">
        <v>65</v>
      </c>
      <c r="I25" t="s">
        <v>72</v>
      </c>
      <c r="J25">
        <v>5</v>
      </c>
      <c r="K25">
        <v>800</v>
      </c>
      <c r="L25">
        <v>15</v>
      </c>
      <c r="M25">
        <v>3400</v>
      </c>
      <c r="N25">
        <v>2800</v>
      </c>
      <c r="O25">
        <v>600</v>
      </c>
      <c r="P25" t="s">
        <v>54</v>
      </c>
      <c r="Q25" t="s">
        <v>76</v>
      </c>
      <c r="R25" t="str">
        <f>TEXT(SalesData[[#This Row],[Order Date]],"mmm")</f>
        <v>Oct</v>
      </c>
      <c r="S25" s="2" t="str">
        <f>"Q"&amp;ROUNDUP(MONTH(SalesData[[#This Row],[Order Date]])/3,0)</f>
        <v>Q4</v>
      </c>
      <c r="T25">
        <f>YEAR(SalesData[[#This Row],[Order Date]])</f>
        <v>2025</v>
      </c>
      <c r="U25">
        <f>SalesData[[#This Row],[Profit]]/SalesData[[#This Row],[Sales]]</f>
        <v>0.17647058823529413</v>
      </c>
    </row>
    <row r="26" spans="1:21" x14ac:dyDescent="0.25">
      <c r="A26" t="s">
        <v>122</v>
      </c>
      <c r="B26" s="1">
        <v>45786</v>
      </c>
      <c r="C26" t="s">
        <v>123</v>
      </c>
      <c r="D26" t="s">
        <v>83</v>
      </c>
      <c r="E26" t="s">
        <v>30</v>
      </c>
      <c r="F26" t="s">
        <v>31</v>
      </c>
      <c r="G26" t="s">
        <v>22</v>
      </c>
      <c r="H26" t="s">
        <v>46</v>
      </c>
      <c r="I26" t="s">
        <v>53</v>
      </c>
      <c r="J26">
        <v>3</v>
      </c>
      <c r="K26">
        <v>800</v>
      </c>
      <c r="L26">
        <v>20</v>
      </c>
      <c r="M26">
        <v>1920</v>
      </c>
      <c r="N26">
        <v>1680</v>
      </c>
      <c r="O26">
        <v>240</v>
      </c>
      <c r="P26" t="s">
        <v>54</v>
      </c>
      <c r="Q26" t="s">
        <v>33</v>
      </c>
      <c r="R26" t="str">
        <f>TEXT(SalesData[[#This Row],[Order Date]],"mmm")</f>
        <v>May</v>
      </c>
      <c r="S26" s="2" t="str">
        <f>"Q"&amp;ROUNDUP(MONTH(SalesData[[#This Row],[Order Date]])/3,0)</f>
        <v>Q2</v>
      </c>
      <c r="T26">
        <f>YEAR(SalesData[[#This Row],[Order Date]])</f>
        <v>2025</v>
      </c>
      <c r="U26">
        <f>SalesData[[#This Row],[Profit]]/SalesData[[#This Row],[Sales]]</f>
        <v>0.125</v>
      </c>
    </row>
    <row r="27" spans="1:21" x14ac:dyDescent="0.25">
      <c r="A27" t="s">
        <v>124</v>
      </c>
      <c r="B27" s="1">
        <v>45745</v>
      </c>
      <c r="C27" t="s">
        <v>125</v>
      </c>
      <c r="D27" t="s">
        <v>113</v>
      </c>
      <c r="E27" t="s">
        <v>44</v>
      </c>
      <c r="F27" t="s">
        <v>45</v>
      </c>
      <c r="G27" t="s">
        <v>22</v>
      </c>
      <c r="H27" t="s">
        <v>46</v>
      </c>
      <c r="I27" t="s">
        <v>39</v>
      </c>
      <c r="J27">
        <v>9</v>
      </c>
      <c r="K27">
        <v>9500</v>
      </c>
      <c r="L27">
        <v>15</v>
      </c>
      <c r="M27">
        <v>72675</v>
      </c>
      <c r="N27">
        <v>59849.999999999993</v>
      </c>
      <c r="O27">
        <v>12825.000000000009</v>
      </c>
      <c r="P27" t="s">
        <v>54</v>
      </c>
      <c r="Q27" t="s">
        <v>33</v>
      </c>
      <c r="R27" t="str">
        <f>TEXT(SalesData[[#This Row],[Order Date]],"mmm")</f>
        <v>Mar</v>
      </c>
      <c r="S27" s="2" t="str">
        <f>"Q"&amp;ROUNDUP(MONTH(SalesData[[#This Row],[Order Date]])/3,0)</f>
        <v>Q1</v>
      </c>
      <c r="T27">
        <f>YEAR(SalesData[[#This Row],[Order Date]])</f>
        <v>2025</v>
      </c>
      <c r="U27">
        <f>SalesData[[#This Row],[Profit]]/SalesData[[#This Row],[Sales]]</f>
        <v>0.17647058823529424</v>
      </c>
    </row>
    <row r="28" spans="1:21" x14ac:dyDescent="0.25">
      <c r="A28" t="s">
        <v>126</v>
      </c>
      <c r="B28" s="1">
        <v>45941</v>
      </c>
      <c r="C28" t="s">
        <v>127</v>
      </c>
      <c r="D28" t="s">
        <v>128</v>
      </c>
      <c r="E28" t="s">
        <v>62</v>
      </c>
      <c r="F28" t="s">
        <v>63</v>
      </c>
      <c r="G28" t="s">
        <v>64</v>
      </c>
      <c r="H28" t="s">
        <v>65</v>
      </c>
      <c r="I28" t="s">
        <v>66</v>
      </c>
      <c r="J28">
        <v>6</v>
      </c>
      <c r="K28">
        <v>8500</v>
      </c>
      <c r="L28">
        <v>20</v>
      </c>
      <c r="M28">
        <v>40800</v>
      </c>
      <c r="N28">
        <v>35700</v>
      </c>
      <c r="O28">
        <v>5100</v>
      </c>
      <c r="P28" t="s">
        <v>58</v>
      </c>
      <c r="Q28" t="s">
        <v>33</v>
      </c>
      <c r="R28" t="str">
        <f>TEXT(SalesData[[#This Row],[Order Date]],"mmm")</f>
        <v>Oct</v>
      </c>
      <c r="S28" s="2" t="str">
        <f>"Q"&amp;ROUNDUP(MONTH(SalesData[[#This Row],[Order Date]])/3,0)</f>
        <v>Q4</v>
      </c>
      <c r="T28">
        <f>YEAR(SalesData[[#This Row],[Order Date]])</f>
        <v>2025</v>
      </c>
      <c r="U28">
        <f>SalesData[[#This Row],[Profit]]/SalesData[[#This Row],[Sales]]</f>
        <v>0.125</v>
      </c>
    </row>
    <row r="29" spans="1:21" x14ac:dyDescent="0.25">
      <c r="A29" t="s">
        <v>129</v>
      </c>
      <c r="B29" s="1">
        <v>45834</v>
      </c>
      <c r="C29" t="s">
        <v>105</v>
      </c>
      <c r="D29" t="s">
        <v>130</v>
      </c>
      <c r="E29" t="s">
        <v>44</v>
      </c>
      <c r="F29" t="s">
        <v>45</v>
      </c>
      <c r="G29" t="s">
        <v>22</v>
      </c>
      <c r="H29" t="s">
        <v>46</v>
      </c>
      <c r="I29" t="s">
        <v>53</v>
      </c>
      <c r="J29">
        <v>3</v>
      </c>
      <c r="K29">
        <v>9500</v>
      </c>
      <c r="L29">
        <v>10</v>
      </c>
      <c r="M29">
        <v>25650</v>
      </c>
      <c r="N29">
        <v>19950</v>
      </c>
      <c r="O29">
        <v>5700</v>
      </c>
      <c r="P29" t="s">
        <v>25</v>
      </c>
      <c r="Q29" t="s">
        <v>33</v>
      </c>
      <c r="R29" t="str">
        <f>TEXT(SalesData[[#This Row],[Order Date]],"mmm")</f>
        <v>Jun</v>
      </c>
      <c r="S29" s="2" t="str">
        <f>"Q"&amp;ROUNDUP(MONTH(SalesData[[#This Row],[Order Date]])/3,0)</f>
        <v>Q2</v>
      </c>
      <c r="T29">
        <f>YEAR(SalesData[[#This Row],[Order Date]])</f>
        <v>2025</v>
      </c>
      <c r="U29">
        <f>SalesData[[#This Row],[Profit]]/SalesData[[#This Row],[Sales]]</f>
        <v>0.22222222222222221</v>
      </c>
    </row>
    <row r="30" spans="1:21" x14ac:dyDescent="0.25">
      <c r="A30" t="s">
        <v>131</v>
      </c>
      <c r="B30" s="1">
        <v>45720</v>
      </c>
      <c r="C30" t="s">
        <v>132</v>
      </c>
      <c r="D30" t="s">
        <v>133</v>
      </c>
      <c r="E30" t="s">
        <v>30</v>
      </c>
      <c r="F30" t="s">
        <v>31</v>
      </c>
      <c r="G30" t="s">
        <v>22</v>
      </c>
      <c r="H30" t="s">
        <v>65</v>
      </c>
      <c r="I30" t="s">
        <v>24</v>
      </c>
      <c r="J30">
        <v>7</v>
      </c>
      <c r="K30">
        <v>800</v>
      </c>
      <c r="L30">
        <v>0</v>
      </c>
      <c r="M30">
        <v>5600</v>
      </c>
      <c r="N30">
        <v>3920</v>
      </c>
      <c r="O30">
        <v>1680</v>
      </c>
      <c r="P30" t="s">
        <v>25</v>
      </c>
      <c r="Q30" t="s">
        <v>26</v>
      </c>
      <c r="R30" t="str">
        <f>TEXT(SalesData[[#This Row],[Order Date]],"mmm")</f>
        <v>Mar</v>
      </c>
      <c r="S30" s="2" t="str">
        <f>"Q"&amp;ROUNDUP(MONTH(SalesData[[#This Row],[Order Date]])/3,0)</f>
        <v>Q1</v>
      </c>
      <c r="T30">
        <f>YEAR(SalesData[[#This Row],[Order Date]])</f>
        <v>2025</v>
      </c>
      <c r="U30">
        <f>SalesData[[#This Row],[Profit]]/SalesData[[#This Row],[Sales]]</f>
        <v>0.3</v>
      </c>
    </row>
    <row r="31" spans="1:21" x14ac:dyDescent="0.25">
      <c r="A31" t="s">
        <v>134</v>
      </c>
      <c r="B31" s="1">
        <v>45817</v>
      </c>
      <c r="C31" t="s">
        <v>135</v>
      </c>
      <c r="D31" t="s">
        <v>136</v>
      </c>
      <c r="E31" t="s">
        <v>62</v>
      </c>
      <c r="F31" t="s">
        <v>63</v>
      </c>
      <c r="G31" t="s">
        <v>64</v>
      </c>
      <c r="H31" t="s">
        <v>23</v>
      </c>
      <c r="I31" t="s">
        <v>24</v>
      </c>
      <c r="J31">
        <v>8</v>
      </c>
      <c r="K31">
        <v>8500</v>
      </c>
      <c r="L31">
        <v>15</v>
      </c>
      <c r="M31">
        <v>57800</v>
      </c>
      <c r="N31">
        <v>47600</v>
      </c>
      <c r="O31">
        <v>10200</v>
      </c>
      <c r="P31" t="s">
        <v>58</v>
      </c>
      <c r="Q31" t="s">
        <v>33</v>
      </c>
      <c r="R31" t="str">
        <f>TEXT(SalesData[[#This Row],[Order Date]],"mmm")</f>
        <v>Jun</v>
      </c>
      <c r="S31" s="2" t="str">
        <f>"Q"&amp;ROUNDUP(MONTH(SalesData[[#This Row],[Order Date]])/3,0)</f>
        <v>Q2</v>
      </c>
      <c r="T31">
        <f>YEAR(SalesData[[#This Row],[Order Date]])</f>
        <v>2025</v>
      </c>
      <c r="U31">
        <f>SalesData[[#This Row],[Profit]]/SalesData[[#This Row],[Sales]]</f>
        <v>0.17647058823529413</v>
      </c>
    </row>
    <row r="32" spans="1:21" x14ac:dyDescent="0.25">
      <c r="A32" t="s">
        <v>137</v>
      </c>
      <c r="B32" s="1">
        <v>45733</v>
      </c>
      <c r="C32" t="s">
        <v>138</v>
      </c>
      <c r="D32" t="s">
        <v>139</v>
      </c>
      <c r="E32" t="s">
        <v>20</v>
      </c>
      <c r="F32" t="s">
        <v>21</v>
      </c>
      <c r="G32" t="s">
        <v>22</v>
      </c>
      <c r="H32" t="s">
        <v>23</v>
      </c>
      <c r="I32" t="s">
        <v>24</v>
      </c>
      <c r="J32">
        <v>8</v>
      </c>
      <c r="K32">
        <v>3500</v>
      </c>
      <c r="L32">
        <v>10</v>
      </c>
      <c r="M32">
        <v>25200</v>
      </c>
      <c r="N32">
        <v>19600</v>
      </c>
      <c r="O32">
        <v>5600</v>
      </c>
      <c r="P32" t="s">
        <v>25</v>
      </c>
      <c r="Q32" t="s">
        <v>26</v>
      </c>
      <c r="R32" t="str">
        <f>TEXT(SalesData[[#This Row],[Order Date]],"mmm")</f>
        <v>Mar</v>
      </c>
      <c r="S32" s="2" t="str">
        <f>"Q"&amp;ROUNDUP(MONTH(SalesData[[#This Row],[Order Date]])/3,0)</f>
        <v>Q1</v>
      </c>
      <c r="T32">
        <f>YEAR(SalesData[[#This Row],[Order Date]])</f>
        <v>2025</v>
      </c>
      <c r="U32">
        <f>SalesData[[#This Row],[Profit]]/SalesData[[#This Row],[Sales]]</f>
        <v>0.22222222222222221</v>
      </c>
    </row>
    <row r="33" spans="1:21" x14ac:dyDescent="0.25">
      <c r="A33" t="s">
        <v>140</v>
      </c>
      <c r="B33" s="1">
        <v>45929</v>
      </c>
      <c r="C33" t="s">
        <v>141</v>
      </c>
      <c r="D33" t="s">
        <v>142</v>
      </c>
      <c r="E33" t="s">
        <v>44</v>
      </c>
      <c r="F33" t="s">
        <v>45</v>
      </c>
      <c r="G33" t="s">
        <v>22</v>
      </c>
      <c r="H33" t="s">
        <v>46</v>
      </c>
      <c r="I33" t="s">
        <v>53</v>
      </c>
      <c r="J33">
        <v>6</v>
      </c>
      <c r="K33">
        <v>9500</v>
      </c>
      <c r="L33">
        <v>10</v>
      </c>
      <c r="M33">
        <v>51300</v>
      </c>
      <c r="N33">
        <v>39900</v>
      </c>
      <c r="O33">
        <v>11400</v>
      </c>
      <c r="P33" t="s">
        <v>40</v>
      </c>
      <c r="Q33" t="s">
        <v>26</v>
      </c>
      <c r="R33" t="str">
        <f>TEXT(SalesData[[#This Row],[Order Date]],"mmm")</f>
        <v>Sep</v>
      </c>
      <c r="S33" s="2" t="str">
        <f>"Q"&amp;ROUNDUP(MONTH(SalesData[[#This Row],[Order Date]])/3,0)</f>
        <v>Q3</v>
      </c>
      <c r="T33">
        <f>YEAR(SalesData[[#This Row],[Order Date]])</f>
        <v>2025</v>
      </c>
      <c r="U33">
        <f>SalesData[[#This Row],[Profit]]/SalesData[[#This Row],[Sales]]</f>
        <v>0.22222222222222221</v>
      </c>
    </row>
    <row r="34" spans="1:21" x14ac:dyDescent="0.25">
      <c r="A34" t="s">
        <v>143</v>
      </c>
      <c r="B34" s="1">
        <v>45818</v>
      </c>
      <c r="C34" t="s">
        <v>144</v>
      </c>
      <c r="D34" t="s">
        <v>145</v>
      </c>
      <c r="E34" t="s">
        <v>50</v>
      </c>
      <c r="F34" t="s">
        <v>51</v>
      </c>
      <c r="G34" t="s">
        <v>52</v>
      </c>
      <c r="H34" t="s">
        <v>46</v>
      </c>
      <c r="I34" t="s">
        <v>39</v>
      </c>
      <c r="J34">
        <v>4</v>
      </c>
      <c r="K34">
        <v>3200</v>
      </c>
      <c r="L34">
        <v>15</v>
      </c>
      <c r="M34">
        <v>10880</v>
      </c>
      <c r="N34">
        <v>8960</v>
      </c>
      <c r="O34">
        <v>1920</v>
      </c>
      <c r="P34" t="s">
        <v>40</v>
      </c>
      <c r="Q34" t="s">
        <v>76</v>
      </c>
      <c r="R34" t="str">
        <f>TEXT(SalesData[[#This Row],[Order Date]],"mmm")</f>
        <v>Jun</v>
      </c>
      <c r="S34" s="2" t="str">
        <f>"Q"&amp;ROUNDUP(MONTH(SalesData[[#This Row],[Order Date]])/3,0)</f>
        <v>Q2</v>
      </c>
      <c r="T34">
        <f>YEAR(SalesData[[#This Row],[Order Date]])</f>
        <v>2025</v>
      </c>
      <c r="U34">
        <f>SalesData[[#This Row],[Profit]]/SalesData[[#This Row],[Sales]]</f>
        <v>0.17647058823529413</v>
      </c>
    </row>
    <row r="35" spans="1:21" x14ac:dyDescent="0.25">
      <c r="A35" t="s">
        <v>146</v>
      </c>
      <c r="B35" s="1">
        <v>45823</v>
      </c>
      <c r="C35" t="s">
        <v>147</v>
      </c>
      <c r="D35" t="s">
        <v>130</v>
      </c>
      <c r="E35" t="s">
        <v>93</v>
      </c>
      <c r="F35" t="s">
        <v>94</v>
      </c>
      <c r="G35" t="s">
        <v>64</v>
      </c>
      <c r="H35" t="s">
        <v>65</v>
      </c>
      <c r="I35" t="s">
        <v>80</v>
      </c>
      <c r="J35">
        <v>2</v>
      </c>
      <c r="K35">
        <v>4500</v>
      </c>
      <c r="L35">
        <v>20</v>
      </c>
      <c r="M35">
        <v>7200</v>
      </c>
      <c r="N35">
        <v>6300</v>
      </c>
      <c r="O35">
        <v>900</v>
      </c>
      <c r="P35" t="s">
        <v>54</v>
      </c>
      <c r="Q35" t="s">
        <v>76</v>
      </c>
      <c r="R35" t="str">
        <f>TEXT(SalesData[[#This Row],[Order Date]],"mmm")</f>
        <v>Jun</v>
      </c>
      <c r="S35" s="2" t="str">
        <f>"Q"&amp;ROUNDUP(MONTH(SalesData[[#This Row],[Order Date]])/3,0)</f>
        <v>Q2</v>
      </c>
      <c r="T35">
        <f>YEAR(SalesData[[#This Row],[Order Date]])</f>
        <v>2025</v>
      </c>
      <c r="U35">
        <f>SalesData[[#This Row],[Profit]]/SalesData[[#This Row],[Sales]]</f>
        <v>0.125</v>
      </c>
    </row>
    <row r="36" spans="1:21" x14ac:dyDescent="0.25">
      <c r="A36" t="s">
        <v>148</v>
      </c>
      <c r="B36" s="1">
        <v>45778</v>
      </c>
      <c r="C36" t="s">
        <v>132</v>
      </c>
      <c r="D36" t="s">
        <v>136</v>
      </c>
      <c r="E36" t="s">
        <v>20</v>
      </c>
      <c r="F36" t="s">
        <v>21</v>
      </c>
      <c r="G36" t="s">
        <v>22</v>
      </c>
      <c r="H36" t="s">
        <v>32</v>
      </c>
      <c r="I36" t="s">
        <v>80</v>
      </c>
      <c r="J36">
        <v>4</v>
      </c>
      <c r="K36">
        <v>3500</v>
      </c>
      <c r="L36">
        <v>10</v>
      </c>
      <c r="M36">
        <v>12600</v>
      </c>
      <c r="N36">
        <v>9800</v>
      </c>
      <c r="O36">
        <v>2800</v>
      </c>
      <c r="P36" t="s">
        <v>54</v>
      </c>
      <c r="Q36" t="s">
        <v>26</v>
      </c>
      <c r="R36" t="str">
        <f>TEXT(SalesData[[#This Row],[Order Date]],"mmm")</f>
        <v>May</v>
      </c>
      <c r="S36" s="2" t="str">
        <f>"Q"&amp;ROUNDUP(MONTH(SalesData[[#This Row],[Order Date]])/3,0)</f>
        <v>Q2</v>
      </c>
      <c r="T36">
        <f>YEAR(SalesData[[#This Row],[Order Date]])</f>
        <v>2025</v>
      </c>
      <c r="U36">
        <f>SalesData[[#This Row],[Profit]]/SalesData[[#This Row],[Sales]]</f>
        <v>0.22222222222222221</v>
      </c>
    </row>
    <row r="37" spans="1:21" x14ac:dyDescent="0.25">
      <c r="A37" t="s">
        <v>149</v>
      </c>
      <c r="B37" s="1">
        <v>45716</v>
      </c>
      <c r="C37" t="s">
        <v>150</v>
      </c>
      <c r="D37" t="s">
        <v>108</v>
      </c>
      <c r="E37" t="s">
        <v>62</v>
      </c>
      <c r="F37" t="s">
        <v>63</v>
      </c>
      <c r="G37" t="s">
        <v>64</v>
      </c>
      <c r="H37" t="s">
        <v>32</v>
      </c>
      <c r="I37" t="s">
        <v>39</v>
      </c>
      <c r="J37">
        <v>1</v>
      </c>
      <c r="K37">
        <v>8500</v>
      </c>
      <c r="L37">
        <v>15</v>
      </c>
      <c r="M37">
        <v>7225</v>
      </c>
      <c r="N37">
        <v>5950</v>
      </c>
      <c r="O37">
        <v>1275</v>
      </c>
      <c r="P37" t="s">
        <v>54</v>
      </c>
      <c r="Q37" t="s">
        <v>26</v>
      </c>
      <c r="R37" t="str">
        <f>TEXT(SalesData[[#This Row],[Order Date]],"mmm")</f>
        <v>Feb</v>
      </c>
      <c r="S37" s="2" t="str">
        <f>"Q"&amp;ROUNDUP(MONTH(SalesData[[#This Row],[Order Date]])/3,0)</f>
        <v>Q1</v>
      </c>
      <c r="T37">
        <f>YEAR(SalesData[[#This Row],[Order Date]])</f>
        <v>2025</v>
      </c>
      <c r="U37">
        <f>SalesData[[#This Row],[Profit]]/SalesData[[#This Row],[Sales]]</f>
        <v>0.17647058823529413</v>
      </c>
    </row>
    <row r="38" spans="1:21" x14ac:dyDescent="0.25">
      <c r="A38" t="s">
        <v>151</v>
      </c>
      <c r="B38" s="1">
        <v>45991</v>
      </c>
      <c r="C38" t="s">
        <v>152</v>
      </c>
      <c r="D38" t="s">
        <v>153</v>
      </c>
      <c r="E38" t="s">
        <v>37</v>
      </c>
      <c r="F38" t="s">
        <v>38</v>
      </c>
      <c r="G38" t="s">
        <v>22</v>
      </c>
      <c r="H38" t="s">
        <v>23</v>
      </c>
      <c r="I38" t="s">
        <v>80</v>
      </c>
      <c r="J38">
        <v>9</v>
      </c>
      <c r="K38">
        <v>55000</v>
      </c>
      <c r="L38">
        <v>5</v>
      </c>
      <c r="M38">
        <v>470250</v>
      </c>
      <c r="N38">
        <v>346500</v>
      </c>
      <c r="O38">
        <v>123750</v>
      </c>
      <c r="P38" t="s">
        <v>54</v>
      </c>
      <c r="Q38" t="s">
        <v>33</v>
      </c>
      <c r="R38" t="str">
        <f>TEXT(SalesData[[#This Row],[Order Date]],"mmm")</f>
        <v>Nov</v>
      </c>
      <c r="S38" s="2" t="str">
        <f>"Q"&amp;ROUNDUP(MONTH(SalesData[[#This Row],[Order Date]])/3,0)</f>
        <v>Q4</v>
      </c>
      <c r="T38">
        <f>YEAR(SalesData[[#This Row],[Order Date]])</f>
        <v>2025</v>
      </c>
      <c r="U38">
        <f>SalesData[[#This Row],[Profit]]/SalesData[[#This Row],[Sales]]</f>
        <v>0.26315789473684209</v>
      </c>
    </row>
    <row r="39" spans="1:21" x14ac:dyDescent="0.25">
      <c r="A39" t="s">
        <v>154</v>
      </c>
      <c r="B39" s="1">
        <v>45737</v>
      </c>
      <c r="C39" t="s">
        <v>155</v>
      </c>
      <c r="D39" t="s">
        <v>86</v>
      </c>
      <c r="E39" t="s">
        <v>50</v>
      </c>
      <c r="F39" t="s">
        <v>51</v>
      </c>
      <c r="G39" t="s">
        <v>52</v>
      </c>
      <c r="H39" t="s">
        <v>46</v>
      </c>
      <c r="I39" t="s">
        <v>66</v>
      </c>
      <c r="J39">
        <v>3</v>
      </c>
      <c r="K39">
        <v>3200</v>
      </c>
      <c r="L39">
        <v>5</v>
      </c>
      <c r="M39">
        <v>9120</v>
      </c>
      <c r="N39">
        <v>6720</v>
      </c>
      <c r="O39">
        <v>2400</v>
      </c>
      <c r="P39" t="s">
        <v>40</v>
      </c>
      <c r="Q39" t="s">
        <v>76</v>
      </c>
      <c r="R39" t="str">
        <f>TEXT(SalesData[[#This Row],[Order Date]],"mmm")</f>
        <v>Mar</v>
      </c>
      <c r="S39" s="2" t="str">
        <f>"Q"&amp;ROUNDUP(MONTH(SalesData[[#This Row],[Order Date]])/3,0)</f>
        <v>Q1</v>
      </c>
      <c r="T39">
        <f>YEAR(SalesData[[#This Row],[Order Date]])</f>
        <v>2025</v>
      </c>
      <c r="U39">
        <f>SalesData[[#This Row],[Profit]]/SalesData[[#This Row],[Sales]]</f>
        <v>0.26315789473684209</v>
      </c>
    </row>
    <row r="40" spans="1:21" x14ac:dyDescent="0.25">
      <c r="A40" t="s">
        <v>156</v>
      </c>
      <c r="B40" s="1">
        <v>45960</v>
      </c>
      <c r="C40" t="s">
        <v>157</v>
      </c>
      <c r="D40" t="s">
        <v>153</v>
      </c>
      <c r="E40" t="s">
        <v>93</v>
      </c>
      <c r="F40" t="s">
        <v>94</v>
      </c>
      <c r="G40" t="s">
        <v>64</v>
      </c>
      <c r="H40" t="s">
        <v>46</v>
      </c>
      <c r="I40" t="s">
        <v>80</v>
      </c>
      <c r="J40">
        <v>5</v>
      </c>
      <c r="K40">
        <v>4500</v>
      </c>
      <c r="L40">
        <v>20</v>
      </c>
      <c r="M40">
        <v>18000</v>
      </c>
      <c r="N40">
        <v>15750</v>
      </c>
      <c r="O40">
        <v>2250.0000000000018</v>
      </c>
      <c r="P40" t="s">
        <v>54</v>
      </c>
      <c r="Q40" t="s">
        <v>26</v>
      </c>
      <c r="R40" t="str">
        <f>TEXT(SalesData[[#This Row],[Order Date]],"mmm")</f>
        <v>Oct</v>
      </c>
      <c r="S40" s="2" t="str">
        <f>"Q"&amp;ROUNDUP(MONTH(SalesData[[#This Row],[Order Date]])/3,0)</f>
        <v>Q4</v>
      </c>
      <c r="T40">
        <f>YEAR(SalesData[[#This Row],[Order Date]])</f>
        <v>2025</v>
      </c>
      <c r="U40">
        <f>SalesData[[#This Row],[Profit]]/SalesData[[#This Row],[Sales]]</f>
        <v>0.12500000000000011</v>
      </c>
    </row>
    <row r="41" spans="1:21" x14ac:dyDescent="0.25">
      <c r="A41" t="s">
        <v>158</v>
      </c>
      <c r="B41" s="1">
        <v>46001</v>
      </c>
      <c r="C41" t="s">
        <v>159</v>
      </c>
      <c r="D41" t="s">
        <v>83</v>
      </c>
      <c r="E41" t="s">
        <v>37</v>
      </c>
      <c r="F41" t="s">
        <v>38</v>
      </c>
      <c r="G41" t="s">
        <v>22</v>
      </c>
      <c r="H41" t="s">
        <v>65</v>
      </c>
      <c r="I41" t="s">
        <v>66</v>
      </c>
      <c r="J41">
        <v>7</v>
      </c>
      <c r="K41">
        <v>55000</v>
      </c>
      <c r="L41">
        <v>10</v>
      </c>
      <c r="M41">
        <v>346500</v>
      </c>
      <c r="N41">
        <v>269500</v>
      </c>
      <c r="O41">
        <v>77000</v>
      </c>
      <c r="P41" t="s">
        <v>25</v>
      </c>
      <c r="Q41" t="s">
        <v>26</v>
      </c>
      <c r="R41" t="str">
        <f>TEXT(SalesData[[#This Row],[Order Date]],"mmm")</f>
        <v>Dec</v>
      </c>
      <c r="S41" s="2" t="str">
        <f>"Q"&amp;ROUNDUP(MONTH(SalesData[[#This Row],[Order Date]])/3,0)</f>
        <v>Q4</v>
      </c>
      <c r="T41">
        <f>YEAR(SalesData[[#This Row],[Order Date]])</f>
        <v>2025</v>
      </c>
      <c r="U41">
        <f>SalesData[[#This Row],[Profit]]/SalesData[[#This Row],[Sales]]</f>
        <v>0.22222222222222221</v>
      </c>
    </row>
    <row r="42" spans="1:21" x14ac:dyDescent="0.25">
      <c r="A42" t="s">
        <v>160</v>
      </c>
      <c r="B42" s="1">
        <v>45697</v>
      </c>
      <c r="C42" t="s">
        <v>121</v>
      </c>
      <c r="D42" t="s">
        <v>161</v>
      </c>
      <c r="E42" t="s">
        <v>37</v>
      </c>
      <c r="F42" t="s">
        <v>38</v>
      </c>
      <c r="G42" t="s">
        <v>22</v>
      </c>
      <c r="H42" t="s">
        <v>23</v>
      </c>
      <c r="I42" t="s">
        <v>80</v>
      </c>
      <c r="J42">
        <v>10</v>
      </c>
      <c r="K42">
        <v>55000</v>
      </c>
      <c r="L42">
        <v>20</v>
      </c>
      <c r="M42">
        <v>440000</v>
      </c>
      <c r="N42">
        <v>385000</v>
      </c>
      <c r="O42">
        <v>55000</v>
      </c>
      <c r="P42" t="s">
        <v>40</v>
      </c>
      <c r="Q42" t="s">
        <v>26</v>
      </c>
      <c r="R42" t="str">
        <f>TEXT(SalesData[[#This Row],[Order Date]],"mmm")</f>
        <v>Feb</v>
      </c>
      <c r="S42" s="2" t="str">
        <f>"Q"&amp;ROUNDUP(MONTH(SalesData[[#This Row],[Order Date]])/3,0)</f>
        <v>Q1</v>
      </c>
      <c r="T42">
        <f>YEAR(SalesData[[#This Row],[Order Date]])</f>
        <v>2025</v>
      </c>
      <c r="U42">
        <f>SalesData[[#This Row],[Profit]]/SalesData[[#This Row],[Sales]]</f>
        <v>0.125</v>
      </c>
    </row>
    <row r="43" spans="1:21" x14ac:dyDescent="0.25">
      <c r="A43" t="s">
        <v>162</v>
      </c>
      <c r="B43" s="1">
        <v>45804</v>
      </c>
      <c r="C43" t="s">
        <v>163</v>
      </c>
      <c r="D43" t="s">
        <v>164</v>
      </c>
      <c r="E43" t="s">
        <v>62</v>
      </c>
      <c r="F43" t="s">
        <v>63</v>
      </c>
      <c r="G43" t="s">
        <v>64</v>
      </c>
      <c r="H43" t="s">
        <v>46</v>
      </c>
      <c r="I43" t="s">
        <v>53</v>
      </c>
      <c r="J43">
        <v>4</v>
      </c>
      <c r="K43">
        <v>8500</v>
      </c>
      <c r="L43">
        <v>20</v>
      </c>
      <c r="M43">
        <v>27200</v>
      </c>
      <c r="N43">
        <v>23800</v>
      </c>
      <c r="O43">
        <v>3400</v>
      </c>
      <c r="P43" t="s">
        <v>40</v>
      </c>
      <c r="Q43" t="s">
        <v>26</v>
      </c>
      <c r="R43" t="str">
        <f>TEXT(SalesData[[#This Row],[Order Date]],"mmm")</f>
        <v>May</v>
      </c>
      <c r="S43" s="2" t="str">
        <f>"Q"&amp;ROUNDUP(MONTH(SalesData[[#This Row],[Order Date]])/3,0)</f>
        <v>Q2</v>
      </c>
      <c r="T43">
        <f>YEAR(SalesData[[#This Row],[Order Date]])</f>
        <v>2025</v>
      </c>
      <c r="U43">
        <f>SalesData[[#This Row],[Profit]]/SalesData[[#This Row],[Sales]]</f>
        <v>0.125</v>
      </c>
    </row>
    <row r="44" spans="1:21" x14ac:dyDescent="0.25">
      <c r="A44" t="s">
        <v>165</v>
      </c>
      <c r="B44" s="1">
        <v>45710</v>
      </c>
      <c r="C44" t="s">
        <v>159</v>
      </c>
      <c r="D44" t="s">
        <v>166</v>
      </c>
      <c r="E44" t="s">
        <v>50</v>
      </c>
      <c r="F44" t="s">
        <v>51</v>
      </c>
      <c r="G44" t="s">
        <v>52</v>
      </c>
      <c r="H44" t="s">
        <v>46</v>
      </c>
      <c r="I44" t="s">
        <v>53</v>
      </c>
      <c r="J44">
        <v>1</v>
      </c>
      <c r="K44">
        <v>3200</v>
      </c>
      <c r="L44">
        <v>15</v>
      </c>
      <c r="M44">
        <v>2720</v>
      </c>
      <c r="N44">
        <v>2240</v>
      </c>
      <c r="O44">
        <v>480</v>
      </c>
      <c r="P44" t="s">
        <v>40</v>
      </c>
      <c r="Q44" t="s">
        <v>33</v>
      </c>
      <c r="R44" t="str">
        <f>TEXT(SalesData[[#This Row],[Order Date]],"mmm")</f>
        <v>Feb</v>
      </c>
      <c r="S44" s="2" t="str">
        <f>"Q"&amp;ROUNDUP(MONTH(SalesData[[#This Row],[Order Date]])/3,0)</f>
        <v>Q1</v>
      </c>
      <c r="T44">
        <f>YEAR(SalesData[[#This Row],[Order Date]])</f>
        <v>2025</v>
      </c>
      <c r="U44">
        <f>SalesData[[#This Row],[Profit]]/SalesData[[#This Row],[Sales]]</f>
        <v>0.17647058823529413</v>
      </c>
    </row>
    <row r="45" spans="1:21" x14ac:dyDescent="0.25">
      <c r="A45" t="s">
        <v>167</v>
      </c>
      <c r="B45" s="1">
        <v>46009</v>
      </c>
      <c r="C45" t="s">
        <v>168</v>
      </c>
      <c r="D45" t="s">
        <v>169</v>
      </c>
      <c r="E45" t="s">
        <v>20</v>
      </c>
      <c r="F45" t="s">
        <v>21</v>
      </c>
      <c r="G45" t="s">
        <v>22</v>
      </c>
      <c r="H45" t="s">
        <v>32</v>
      </c>
      <c r="I45" t="s">
        <v>53</v>
      </c>
      <c r="J45">
        <v>3</v>
      </c>
      <c r="K45">
        <v>3500</v>
      </c>
      <c r="L45">
        <v>10</v>
      </c>
      <c r="M45">
        <v>9450</v>
      </c>
      <c r="N45">
        <v>7349.9999999999991</v>
      </c>
      <c r="O45">
        <v>2100.0000000000009</v>
      </c>
      <c r="P45" t="s">
        <v>54</v>
      </c>
      <c r="Q45" t="s">
        <v>26</v>
      </c>
      <c r="R45" t="str">
        <f>TEXT(SalesData[[#This Row],[Order Date]],"mmm")</f>
        <v>Dec</v>
      </c>
      <c r="S45" s="2" t="str">
        <f>"Q"&amp;ROUNDUP(MONTH(SalesData[[#This Row],[Order Date]])/3,0)</f>
        <v>Q4</v>
      </c>
      <c r="T45">
        <f>YEAR(SalesData[[#This Row],[Order Date]])</f>
        <v>2025</v>
      </c>
      <c r="U45">
        <f>SalesData[[#This Row],[Profit]]/SalesData[[#This Row],[Sales]]</f>
        <v>0.22222222222222232</v>
      </c>
    </row>
    <row r="46" spans="1:21" x14ac:dyDescent="0.25">
      <c r="A46" t="s">
        <v>170</v>
      </c>
      <c r="B46" s="1">
        <v>45995</v>
      </c>
      <c r="C46" t="s">
        <v>155</v>
      </c>
      <c r="D46" t="s">
        <v>171</v>
      </c>
      <c r="E46" t="s">
        <v>37</v>
      </c>
      <c r="F46" t="s">
        <v>38</v>
      </c>
      <c r="G46" t="s">
        <v>22</v>
      </c>
      <c r="H46" t="s">
        <v>46</v>
      </c>
      <c r="I46" t="s">
        <v>39</v>
      </c>
      <c r="J46">
        <v>9</v>
      </c>
      <c r="K46">
        <v>55000</v>
      </c>
      <c r="L46">
        <v>20</v>
      </c>
      <c r="M46">
        <v>396000</v>
      </c>
      <c r="N46">
        <v>346500</v>
      </c>
      <c r="O46">
        <v>49500</v>
      </c>
      <c r="P46" t="s">
        <v>25</v>
      </c>
      <c r="Q46" t="s">
        <v>33</v>
      </c>
      <c r="R46" t="str">
        <f>TEXT(SalesData[[#This Row],[Order Date]],"mmm")</f>
        <v>Dec</v>
      </c>
      <c r="S46" s="2" t="str">
        <f>"Q"&amp;ROUNDUP(MONTH(SalesData[[#This Row],[Order Date]])/3,0)</f>
        <v>Q4</v>
      </c>
      <c r="T46">
        <f>YEAR(SalesData[[#This Row],[Order Date]])</f>
        <v>2025</v>
      </c>
      <c r="U46">
        <f>SalesData[[#This Row],[Profit]]/SalesData[[#This Row],[Sales]]</f>
        <v>0.125</v>
      </c>
    </row>
    <row r="47" spans="1:21" x14ac:dyDescent="0.25">
      <c r="A47" t="s">
        <v>172</v>
      </c>
      <c r="B47" s="1">
        <v>45776</v>
      </c>
      <c r="C47" t="s">
        <v>173</v>
      </c>
      <c r="D47" t="s">
        <v>174</v>
      </c>
      <c r="E47" t="s">
        <v>44</v>
      </c>
      <c r="F47" t="s">
        <v>45</v>
      </c>
      <c r="G47" t="s">
        <v>22</v>
      </c>
      <c r="H47" t="s">
        <v>46</v>
      </c>
      <c r="I47" t="s">
        <v>72</v>
      </c>
      <c r="J47">
        <v>5</v>
      </c>
      <c r="K47">
        <v>9500</v>
      </c>
      <c r="L47">
        <v>20</v>
      </c>
      <c r="M47">
        <v>38000</v>
      </c>
      <c r="N47">
        <v>33250</v>
      </c>
      <c r="O47">
        <v>4750</v>
      </c>
      <c r="P47" t="s">
        <v>40</v>
      </c>
      <c r="Q47" t="s">
        <v>26</v>
      </c>
      <c r="R47" t="str">
        <f>TEXT(SalesData[[#This Row],[Order Date]],"mmm")</f>
        <v>Apr</v>
      </c>
      <c r="S47" s="2" t="str">
        <f>"Q"&amp;ROUNDUP(MONTH(SalesData[[#This Row],[Order Date]])/3,0)</f>
        <v>Q2</v>
      </c>
      <c r="T47">
        <f>YEAR(SalesData[[#This Row],[Order Date]])</f>
        <v>2025</v>
      </c>
      <c r="U47">
        <f>SalesData[[#This Row],[Profit]]/SalesData[[#This Row],[Sales]]</f>
        <v>0.125</v>
      </c>
    </row>
    <row r="48" spans="1:21" x14ac:dyDescent="0.25">
      <c r="A48" t="s">
        <v>175</v>
      </c>
      <c r="B48" s="1">
        <v>45822</v>
      </c>
      <c r="C48" t="s">
        <v>176</v>
      </c>
      <c r="D48" t="s">
        <v>177</v>
      </c>
      <c r="E48" t="s">
        <v>30</v>
      </c>
      <c r="F48" t="s">
        <v>31</v>
      </c>
      <c r="G48" t="s">
        <v>22</v>
      </c>
      <c r="H48" t="s">
        <v>32</v>
      </c>
      <c r="I48" t="s">
        <v>66</v>
      </c>
      <c r="J48">
        <v>7</v>
      </c>
      <c r="K48">
        <v>800</v>
      </c>
      <c r="L48">
        <v>10</v>
      </c>
      <c r="M48">
        <v>5040</v>
      </c>
      <c r="N48">
        <v>3920</v>
      </c>
      <c r="O48">
        <v>1120</v>
      </c>
      <c r="P48" t="s">
        <v>54</v>
      </c>
      <c r="Q48" t="s">
        <v>33</v>
      </c>
      <c r="R48" t="str">
        <f>TEXT(SalesData[[#This Row],[Order Date]],"mmm")</f>
        <v>Jun</v>
      </c>
      <c r="S48" s="2" t="str">
        <f>"Q"&amp;ROUNDUP(MONTH(SalesData[[#This Row],[Order Date]])/3,0)</f>
        <v>Q2</v>
      </c>
      <c r="T48">
        <f>YEAR(SalesData[[#This Row],[Order Date]])</f>
        <v>2025</v>
      </c>
      <c r="U48">
        <f>SalesData[[#This Row],[Profit]]/SalesData[[#This Row],[Sales]]</f>
        <v>0.22222222222222221</v>
      </c>
    </row>
    <row r="49" spans="1:21" x14ac:dyDescent="0.25">
      <c r="A49" t="s">
        <v>178</v>
      </c>
      <c r="B49" s="1">
        <v>45721</v>
      </c>
      <c r="C49" t="s">
        <v>163</v>
      </c>
      <c r="D49" t="s">
        <v>179</v>
      </c>
      <c r="E49" t="s">
        <v>20</v>
      </c>
      <c r="F49" t="s">
        <v>21</v>
      </c>
      <c r="G49" t="s">
        <v>22</v>
      </c>
      <c r="H49" t="s">
        <v>65</v>
      </c>
      <c r="I49" t="s">
        <v>66</v>
      </c>
      <c r="J49">
        <v>7</v>
      </c>
      <c r="K49">
        <v>3500</v>
      </c>
      <c r="L49">
        <v>0</v>
      </c>
      <c r="M49">
        <v>24500</v>
      </c>
      <c r="N49">
        <v>17150</v>
      </c>
      <c r="O49">
        <v>7350</v>
      </c>
      <c r="P49" t="s">
        <v>54</v>
      </c>
      <c r="Q49" t="s">
        <v>26</v>
      </c>
      <c r="R49" t="str">
        <f>TEXT(SalesData[[#This Row],[Order Date]],"mmm")</f>
        <v>Mar</v>
      </c>
      <c r="S49" s="2" t="str">
        <f>"Q"&amp;ROUNDUP(MONTH(SalesData[[#This Row],[Order Date]])/3,0)</f>
        <v>Q1</v>
      </c>
      <c r="T49">
        <f>YEAR(SalesData[[#This Row],[Order Date]])</f>
        <v>2025</v>
      </c>
      <c r="U49">
        <f>SalesData[[#This Row],[Profit]]/SalesData[[#This Row],[Sales]]</f>
        <v>0.3</v>
      </c>
    </row>
    <row r="50" spans="1:21" x14ac:dyDescent="0.25">
      <c r="A50" t="s">
        <v>180</v>
      </c>
      <c r="B50" s="1">
        <v>46019</v>
      </c>
      <c r="C50" t="s">
        <v>56</v>
      </c>
      <c r="D50" t="s">
        <v>49</v>
      </c>
      <c r="E50" t="s">
        <v>30</v>
      </c>
      <c r="F50" t="s">
        <v>31</v>
      </c>
      <c r="G50" t="s">
        <v>22</v>
      </c>
      <c r="H50" t="s">
        <v>65</v>
      </c>
      <c r="I50" t="s">
        <v>53</v>
      </c>
      <c r="J50">
        <v>3</v>
      </c>
      <c r="K50">
        <v>800</v>
      </c>
      <c r="L50">
        <v>0</v>
      </c>
      <c r="M50">
        <v>2400</v>
      </c>
      <c r="N50">
        <v>1680</v>
      </c>
      <c r="O50">
        <v>720</v>
      </c>
      <c r="P50" t="s">
        <v>40</v>
      </c>
      <c r="Q50" t="s">
        <v>76</v>
      </c>
      <c r="R50" t="str">
        <f>TEXT(SalesData[[#This Row],[Order Date]],"mmm")</f>
        <v>Dec</v>
      </c>
      <c r="S50" s="2" t="str">
        <f>"Q"&amp;ROUNDUP(MONTH(SalesData[[#This Row],[Order Date]])/3,0)</f>
        <v>Q4</v>
      </c>
      <c r="T50">
        <f>YEAR(SalesData[[#This Row],[Order Date]])</f>
        <v>2025</v>
      </c>
      <c r="U50">
        <f>SalesData[[#This Row],[Profit]]/SalesData[[#This Row],[Sales]]</f>
        <v>0.3</v>
      </c>
    </row>
    <row r="51" spans="1:21" x14ac:dyDescent="0.25">
      <c r="A51" t="s">
        <v>181</v>
      </c>
      <c r="B51" s="1">
        <v>45792</v>
      </c>
      <c r="C51" t="s">
        <v>182</v>
      </c>
      <c r="D51" t="s">
        <v>183</v>
      </c>
      <c r="E51" t="s">
        <v>37</v>
      </c>
      <c r="F51" t="s">
        <v>38</v>
      </c>
      <c r="G51" t="s">
        <v>22</v>
      </c>
      <c r="H51" t="s">
        <v>65</v>
      </c>
      <c r="I51" t="s">
        <v>39</v>
      </c>
      <c r="J51">
        <v>1</v>
      </c>
      <c r="K51">
        <v>55000</v>
      </c>
      <c r="L51">
        <v>10</v>
      </c>
      <c r="M51">
        <v>49500</v>
      </c>
      <c r="N51">
        <v>38500</v>
      </c>
      <c r="O51">
        <v>11000</v>
      </c>
      <c r="P51" t="s">
        <v>25</v>
      </c>
      <c r="Q51" t="s">
        <v>33</v>
      </c>
      <c r="R51" t="str">
        <f>TEXT(SalesData[[#This Row],[Order Date]],"mmm")</f>
        <v>May</v>
      </c>
      <c r="S51" s="2" t="str">
        <f>"Q"&amp;ROUNDUP(MONTH(SalesData[[#This Row],[Order Date]])/3,0)</f>
        <v>Q2</v>
      </c>
      <c r="T51">
        <f>YEAR(SalesData[[#This Row],[Order Date]])</f>
        <v>2025</v>
      </c>
      <c r="U51">
        <f>SalesData[[#This Row],[Profit]]/SalesData[[#This Row],[Sales]]</f>
        <v>0.22222222222222221</v>
      </c>
    </row>
    <row r="52" spans="1:21" x14ac:dyDescent="0.25">
      <c r="A52" t="s">
        <v>184</v>
      </c>
      <c r="B52" s="1">
        <v>45683</v>
      </c>
      <c r="C52" t="s">
        <v>123</v>
      </c>
      <c r="D52" t="s">
        <v>185</v>
      </c>
      <c r="E52" t="s">
        <v>93</v>
      </c>
      <c r="F52" t="s">
        <v>94</v>
      </c>
      <c r="G52" t="s">
        <v>64</v>
      </c>
      <c r="H52" t="s">
        <v>46</v>
      </c>
      <c r="I52" t="s">
        <v>80</v>
      </c>
      <c r="J52">
        <v>8</v>
      </c>
      <c r="K52">
        <v>4500</v>
      </c>
      <c r="L52">
        <v>0</v>
      </c>
      <c r="M52">
        <v>36000</v>
      </c>
      <c r="N52">
        <v>25200</v>
      </c>
      <c r="O52">
        <v>10800</v>
      </c>
      <c r="P52" t="s">
        <v>40</v>
      </c>
      <c r="Q52" t="s">
        <v>26</v>
      </c>
      <c r="R52" t="str">
        <f>TEXT(SalesData[[#This Row],[Order Date]],"mmm")</f>
        <v>Jan</v>
      </c>
      <c r="S52" s="2" t="str">
        <f>"Q"&amp;ROUNDUP(MONTH(SalesData[[#This Row],[Order Date]])/3,0)</f>
        <v>Q1</v>
      </c>
      <c r="T52">
        <f>YEAR(SalesData[[#This Row],[Order Date]])</f>
        <v>2025</v>
      </c>
      <c r="U52">
        <f>SalesData[[#This Row],[Profit]]/SalesData[[#This Row],[Sales]]</f>
        <v>0.3</v>
      </c>
    </row>
    <row r="53" spans="1:21" x14ac:dyDescent="0.25">
      <c r="A53" t="s">
        <v>186</v>
      </c>
      <c r="B53" s="1">
        <v>45690</v>
      </c>
      <c r="C53" t="s">
        <v>28</v>
      </c>
      <c r="D53" t="s">
        <v>185</v>
      </c>
      <c r="E53" t="s">
        <v>62</v>
      </c>
      <c r="F53" t="s">
        <v>63</v>
      </c>
      <c r="G53" t="s">
        <v>64</v>
      </c>
      <c r="H53" t="s">
        <v>46</v>
      </c>
      <c r="I53" t="s">
        <v>72</v>
      </c>
      <c r="J53">
        <v>9</v>
      </c>
      <c r="K53">
        <v>8500</v>
      </c>
      <c r="L53">
        <v>20</v>
      </c>
      <c r="M53">
        <v>61200</v>
      </c>
      <c r="N53">
        <v>53550</v>
      </c>
      <c r="O53">
        <v>7650</v>
      </c>
      <c r="P53" t="s">
        <v>40</v>
      </c>
      <c r="Q53" t="s">
        <v>76</v>
      </c>
      <c r="R53" t="str">
        <f>TEXT(SalesData[[#This Row],[Order Date]],"mmm")</f>
        <v>Feb</v>
      </c>
      <c r="S53" s="2" t="str">
        <f>"Q"&amp;ROUNDUP(MONTH(SalesData[[#This Row],[Order Date]])/3,0)</f>
        <v>Q1</v>
      </c>
      <c r="T53">
        <f>YEAR(SalesData[[#This Row],[Order Date]])</f>
        <v>2025</v>
      </c>
      <c r="U53">
        <f>SalesData[[#This Row],[Profit]]/SalesData[[#This Row],[Sales]]</f>
        <v>0.125</v>
      </c>
    </row>
    <row r="54" spans="1:21" x14ac:dyDescent="0.25">
      <c r="A54" t="s">
        <v>187</v>
      </c>
      <c r="B54" s="1">
        <v>45999</v>
      </c>
      <c r="C54" t="s">
        <v>123</v>
      </c>
      <c r="D54" t="s">
        <v>188</v>
      </c>
      <c r="E54" t="s">
        <v>93</v>
      </c>
      <c r="F54" t="s">
        <v>94</v>
      </c>
      <c r="G54" t="s">
        <v>64</v>
      </c>
      <c r="H54" t="s">
        <v>46</v>
      </c>
      <c r="I54" t="s">
        <v>53</v>
      </c>
      <c r="J54">
        <v>7</v>
      </c>
      <c r="K54">
        <v>4500</v>
      </c>
      <c r="L54">
        <v>20</v>
      </c>
      <c r="M54">
        <v>25200</v>
      </c>
      <c r="N54">
        <v>22050</v>
      </c>
      <c r="O54">
        <v>3150</v>
      </c>
      <c r="P54" t="s">
        <v>54</v>
      </c>
      <c r="Q54" t="s">
        <v>76</v>
      </c>
      <c r="R54" t="str">
        <f>TEXT(SalesData[[#This Row],[Order Date]],"mmm")</f>
        <v>Dec</v>
      </c>
      <c r="S54" s="2" t="str">
        <f>"Q"&amp;ROUNDUP(MONTH(SalesData[[#This Row],[Order Date]])/3,0)</f>
        <v>Q4</v>
      </c>
      <c r="T54">
        <f>YEAR(SalesData[[#This Row],[Order Date]])</f>
        <v>2025</v>
      </c>
      <c r="U54">
        <f>SalesData[[#This Row],[Profit]]/SalesData[[#This Row],[Sales]]</f>
        <v>0.125</v>
      </c>
    </row>
    <row r="55" spans="1:21" x14ac:dyDescent="0.25">
      <c r="A55" t="s">
        <v>189</v>
      </c>
      <c r="B55" s="1">
        <v>45816</v>
      </c>
      <c r="C55" t="s">
        <v>190</v>
      </c>
      <c r="D55" t="s">
        <v>191</v>
      </c>
      <c r="E55" t="s">
        <v>70</v>
      </c>
      <c r="F55" t="s">
        <v>71</v>
      </c>
      <c r="G55" t="s">
        <v>22</v>
      </c>
      <c r="H55" t="s">
        <v>46</v>
      </c>
      <c r="I55" t="s">
        <v>53</v>
      </c>
      <c r="J55">
        <v>6</v>
      </c>
      <c r="K55">
        <v>1500</v>
      </c>
      <c r="L55">
        <v>10</v>
      </c>
      <c r="M55">
        <v>8100</v>
      </c>
      <c r="N55">
        <v>6300</v>
      </c>
      <c r="O55">
        <v>1800</v>
      </c>
      <c r="P55" t="s">
        <v>25</v>
      </c>
      <c r="Q55" t="s">
        <v>26</v>
      </c>
      <c r="R55" t="str">
        <f>TEXT(SalesData[[#This Row],[Order Date]],"mmm")</f>
        <v>Jun</v>
      </c>
      <c r="S55" s="2" t="str">
        <f>"Q"&amp;ROUNDUP(MONTH(SalesData[[#This Row],[Order Date]])/3,0)</f>
        <v>Q2</v>
      </c>
      <c r="T55">
        <f>YEAR(SalesData[[#This Row],[Order Date]])</f>
        <v>2025</v>
      </c>
      <c r="U55">
        <f>SalesData[[#This Row],[Profit]]/SalesData[[#This Row],[Sales]]</f>
        <v>0.22222222222222221</v>
      </c>
    </row>
    <row r="56" spans="1:21" x14ac:dyDescent="0.25">
      <c r="A56" t="s">
        <v>192</v>
      </c>
      <c r="B56" s="1">
        <v>46019</v>
      </c>
      <c r="C56" t="s">
        <v>168</v>
      </c>
      <c r="D56" t="s">
        <v>177</v>
      </c>
      <c r="E56" t="s">
        <v>70</v>
      </c>
      <c r="F56" t="s">
        <v>71</v>
      </c>
      <c r="G56" t="s">
        <v>22</v>
      </c>
      <c r="H56" t="s">
        <v>23</v>
      </c>
      <c r="I56" t="s">
        <v>66</v>
      </c>
      <c r="J56">
        <v>4</v>
      </c>
      <c r="K56">
        <v>1500</v>
      </c>
      <c r="L56">
        <v>0</v>
      </c>
      <c r="M56">
        <v>6000</v>
      </c>
      <c r="N56">
        <v>4200</v>
      </c>
      <c r="O56">
        <v>1800</v>
      </c>
      <c r="P56" t="s">
        <v>54</v>
      </c>
      <c r="Q56" t="s">
        <v>76</v>
      </c>
      <c r="R56" t="str">
        <f>TEXT(SalesData[[#This Row],[Order Date]],"mmm")</f>
        <v>Dec</v>
      </c>
      <c r="S56" s="2" t="str">
        <f>"Q"&amp;ROUNDUP(MONTH(SalesData[[#This Row],[Order Date]])/3,0)</f>
        <v>Q4</v>
      </c>
      <c r="T56">
        <f>YEAR(SalesData[[#This Row],[Order Date]])</f>
        <v>2025</v>
      </c>
      <c r="U56">
        <f>SalesData[[#This Row],[Profit]]/SalesData[[#This Row],[Sales]]</f>
        <v>0.3</v>
      </c>
    </row>
    <row r="57" spans="1:21" x14ac:dyDescent="0.25">
      <c r="A57" t="s">
        <v>193</v>
      </c>
      <c r="B57" s="1">
        <v>45897</v>
      </c>
      <c r="C57" t="s">
        <v>85</v>
      </c>
      <c r="D57" t="s">
        <v>97</v>
      </c>
      <c r="E57" t="s">
        <v>62</v>
      </c>
      <c r="F57" t="s">
        <v>63</v>
      </c>
      <c r="G57" t="s">
        <v>64</v>
      </c>
      <c r="H57" t="s">
        <v>46</v>
      </c>
      <c r="I57" t="s">
        <v>39</v>
      </c>
      <c r="J57">
        <v>10</v>
      </c>
      <c r="K57">
        <v>8500</v>
      </c>
      <c r="L57">
        <v>0</v>
      </c>
      <c r="M57">
        <v>85000</v>
      </c>
      <c r="N57">
        <v>59499.999999999993</v>
      </c>
      <c r="O57">
        <v>25500.000000000011</v>
      </c>
      <c r="P57" t="s">
        <v>40</v>
      </c>
      <c r="Q57" t="s">
        <v>33</v>
      </c>
      <c r="R57" t="str">
        <f>TEXT(SalesData[[#This Row],[Order Date]],"mmm")</f>
        <v>Aug</v>
      </c>
      <c r="S57" s="2" t="str">
        <f>"Q"&amp;ROUNDUP(MONTH(SalesData[[#This Row],[Order Date]])/3,0)</f>
        <v>Q3</v>
      </c>
      <c r="T57">
        <f>YEAR(SalesData[[#This Row],[Order Date]])</f>
        <v>2025</v>
      </c>
      <c r="U57">
        <f>SalesData[[#This Row],[Profit]]/SalesData[[#This Row],[Sales]]</f>
        <v>0.30000000000000016</v>
      </c>
    </row>
    <row r="58" spans="1:21" x14ac:dyDescent="0.25">
      <c r="A58" t="s">
        <v>194</v>
      </c>
      <c r="B58" s="1">
        <v>45837</v>
      </c>
      <c r="C58" t="s">
        <v>195</v>
      </c>
      <c r="D58" t="s">
        <v>196</v>
      </c>
      <c r="E58" t="s">
        <v>30</v>
      </c>
      <c r="F58" t="s">
        <v>31</v>
      </c>
      <c r="G58" t="s">
        <v>22</v>
      </c>
      <c r="H58" t="s">
        <v>23</v>
      </c>
      <c r="I58" t="s">
        <v>53</v>
      </c>
      <c r="J58">
        <v>7</v>
      </c>
      <c r="K58">
        <v>800</v>
      </c>
      <c r="L58">
        <v>5</v>
      </c>
      <c r="M58">
        <v>5320</v>
      </c>
      <c r="N58">
        <v>3920</v>
      </c>
      <c r="O58">
        <v>1400</v>
      </c>
      <c r="P58" t="s">
        <v>58</v>
      </c>
      <c r="Q58" t="s">
        <v>26</v>
      </c>
      <c r="R58" t="str">
        <f>TEXT(SalesData[[#This Row],[Order Date]],"mmm")</f>
        <v>Jun</v>
      </c>
      <c r="S58" s="2" t="str">
        <f>"Q"&amp;ROUNDUP(MONTH(SalesData[[#This Row],[Order Date]])/3,0)</f>
        <v>Q2</v>
      </c>
      <c r="T58">
        <f>YEAR(SalesData[[#This Row],[Order Date]])</f>
        <v>2025</v>
      </c>
      <c r="U58">
        <f>SalesData[[#This Row],[Profit]]/SalesData[[#This Row],[Sales]]</f>
        <v>0.26315789473684209</v>
      </c>
    </row>
    <row r="59" spans="1:21" x14ac:dyDescent="0.25">
      <c r="A59" t="s">
        <v>197</v>
      </c>
      <c r="B59" s="1">
        <v>45817</v>
      </c>
      <c r="C59" t="s">
        <v>198</v>
      </c>
      <c r="D59" t="s">
        <v>199</v>
      </c>
      <c r="E59" t="s">
        <v>62</v>
      </c>
      <c r="F59" t="s">
        <v>63</v>
      </c>
      <c r="G59" t="s">
        <v>64</v>
      </c>
      <c r="H59" t="s">
        <v>46</v>
      </c>
      <c r="I59" t="s">
        <v>66</v>
      </c>
      <c r="J59">
        <v>8</v>
      </c>
      <c r="K59">
        <v>8500</v>
      </c>
      <c r="L59">
        <v>10</v>
      </c>
      <c r="M59">
        <v>61200</v>
      </c>
      <c r="N59">
        <v>47600</v>
      </c>
      <c r="O59">
        <v>13600</v>
      </c>
      <c r="P59" t="s">
        <v>40</v>
      </c>
      <c r="Q59" t="s">
        <v>76</v>
      </c>
      <c r="R59" t="str">
        <f>TEXT(SalesData[[#This Row],[Order Date]],"mmm")</f>
        <v>Jun</v>
      </c>
      <c r="S59" s="2" t="str">
        <f>"Q"&amp;ROUNDUP(MONTH(SalesData[[#This Row],[Order Date]])/3,0)</f>
        <v>Q2</v>
      </c>
      <c r="T59">
        <f>YEAR(SalesData[[#This Row],[Order Date]])</f>
        <v>2025</v>
      </c>
      <c r="U59">
        <f>SalesData[[#This Row],[Profit]]/SalesData[[#This Row],[Sales]]</f>
        <v>0.22222222222222221</v>
      </c>
    </row>
    <row r="60" spans="1:21" x14ac:dyDescent="0.25">
      <c r="A60" t="s">
        <v>200</v>
      </c>
      <c r="B60" s="1">
        <v>45798</v>
      </c>
      <c r="C60" t="s">
        <v>132</v>
      </c>
      <c r="D60" t="s">
        <v>201</v>
      </c>
      <c r="E60" t="s">
        <v>93</v>
      </c>
      <c r="F60" t="s">
        <v>94</v>
      </c>
      <c r="G60" t="s">
        <v>64</v>
      </c>
      <c r="H60" t="s">
        <v>32</v>
      </c>
      <c r="I60" t="s">
        <v>53</v>
      </c>
      <c r="J60">
        <v>9</v>
      </c>
      <c r="K60">
        <v>4500</v>
      </c>
      <c r="L60">
        <v>0</v>
      </c>
      <c r="M60">
        <v>40500</v>
      </c>
      <c r="N60">
        <v>28350</v>
      </c>
      <c r="O60">
        <v>12150</v>
      </c>
      <c r="P60" t="s">
        <v>25</v>
      </c>
      <c r="Q60" t="s">
        <v>26</v>
      </c>
      <c r="R60" t="str">
        <f>TEXT(SalesData[[#This Row],[Order Date]],"mmm")</f>
        <v>May</v>
      </c>
      <c r="S60" s="2" t="str">
        <f>"Q"&amp;ROUNDUP(MONTH(SalesData[[#This Row],[Order Date]])/3,0)</f>
        <v>Q2</v>
      </c>
      <c r="T60">
        <f>YEAR(SalesData[[#This Row],[Order Date]])</f>
        <v>2025</v>
      </c>
      <c r="U60">
        <f>SalesData[[#This Row],[Profit]]/SalesData[[#This Row],[Sales]]</f>
        <v>0.3</v>
      </c>
    </row>
    <row r="61" spans="1:21" x14ac:dyDescent="0.25">
      <c r="A61" t="s">
        <v>202</v>
      </c>
      <c r="B61" s="1">
        <v>45745</v>
      </c>
      <c r="C61" t="s">
        <v>203</v>
      </c>
      <c r="D61" t="s">
        <v>204</v>
      </c>
      <c r="E61" t="s">
        <v>70</v>
      </c>
      <c r="F61" t="s">
        <v>71</v>
      </c>
      <c r="G61" t="s">
        <v>22</v>
      </c>
      <c r="H61" t="s">
        <v>46</v>
      </c>
      <c r="I61" t="s">
        <v>72</v>
      </c>
      <c r="J61">
        <v>7</v>
      </c>
      <c r="K61">
        <v>1500</v>
      </c>
      <c r="L61">
        <v>10</v>
      </c>
      <c r="M61">
        <v>9450</v>
      </c>
      <c r="N61">
        <v>7349.9999999999991</v>
      </c>
      <c r="O61">
        <v>2100.0000000000009</v>
      </c>
      <c r="P61" t="s">
        <v>25</v>
      </c>
      <c r="Q61" t="s">
        <v>33</v>
      </c>
      <c r="R61" t="str">
        <f>TEXT(SalesData[[#This Row],[Order Date]],"mmm")</f>
        <v>Mar</v>
      </c>
      <c r="S61" s="2" t="str">
        <f>"Q"&amp;ROUNDUP(MONTH(SalesData[[#This Row],[Order Date]])/3,0)</f>
        <v>Q1</v>
      </c>
      <c r="T61">
        <f>YEAR(SalesData[[#This Row],[Order Date]])</f>
        <v>2025</v>
      </c>
      <c r="U61">
        <f>SalesData[[#This Row],[Profit]]/SalesData[[#This Row],[Sales]]</f>
        <v>0.22222222222222232</v>
      </c>
    </row>
    <row r="62" spans="1:21" x14ac:dyDescent="0.25">
      <c r="A62" t="s">
        <v>205</v>
      </c>
      <c r="B62" s="1">
        <v>45707</v>
      </c>
      <c r="C62" t="s">
        <v>112</v>
      </c>
      <c r="D62" t="s">
        <v>97</v>
      </c>
      <c r="E62" t="s">
        <v>93</v>
      </c>
      <c r="F62" t="s">
        <v>94</v>
      </c>
      <c r="G62" t="s">
        <v>64</v>
      </c>
      <c r="H62" t="s">
        <v>32</v>
      </c>
      <c r="I62" t="s">
        <v>66</v>
      </c>
      <c r="J62">
        <v>1</v>
      </c>
      <c r="K62">
        <v>4500</v>
      </c>
      <c r="L62">
        <v>0</v>
      </c>
      <c r="M62">
        <v>4500</v>
      </c>
      <c r="N62">
        <v>3150</v>
      </c>
      <c r="O62">
        <v>1350</v>
      </c>
      <c r="P62" t="s">
        <v>54</v>
      </c>
      <c r="Q62" t="s">
        <v>26</v>
      </c>
      <c r="R62" t="str">
        <f>TEXT(SalesData[[#This Row],[Order Date]],"mmm")</f>
        <v>Feb</v>
      </c>
      <c r="S62" s="2" t="str">
        <f>"Q"&amp;ROUNDUP(MONTH(SalesData[[#This Row],[Order Date]])/3,0)</f>
        <v>Q1</v>
      </c>
      <c r="T62">
        <f>YEAR(SalesData[[#This Row],[Order Date]])</f>
        <v>2025</v>
      </c>
      <c r="U62">
        <f>SalesData[[#This Row],[Profit]]/SalesData[[#This Row],[Sales]]</f>
        <v>0.3</v>
      </c>
    </row>
    <row r="63" spans="1:21" x14ac:dyDescent="0.25">
      <c r="A63" t="s">
        <v>206</v>
      </c>
      <c r="B63" s="1">
        <v>45885</v>
      </c>
      <c r="C63" t="s">
        <v>88</v>
      </c>
      <c r="D63" t="s">
        <v>191</v>
      </c>
      <c r="E63" t="s">
        <v>70</v>
      </c>
      <c r="F63" t="s">
        <v>71</v>
      </c>
      <c r="G63" t="s">
        <v>22</v>
      </c>
      <c r="H63" t="s">
        <v>32</v>
      </c>
      <c r="I63" t="s">
        <v>24</v>
      </c>
      <c r="J63">
        <v>6</v>
      </c>
      <c r="K63">
        <v>1500</v>
      </c>
      <c r="L63">
        <v>15</v>
      </c>
      <c r="M63">
        <v>7650</v>
      </c>
      <c r="N63">
        <v>6300</v>
      </c>
      <c r="O63">
        <v>1350</v>
      </c>
      <c r="P63" t="s">
        <v>54</v>
      </c>
      <c r="Q63" t="s">
        <v>26</v>
      </c>
      <c r="R63" t="str">
        <f>TEXT(SalesData[[#This Row],[Order Date]],"mmm")</f>
        <v>Aug</v>
      </c>
      <c r="S63" s="2" t="str">
        <f>"Q"&amp;ROUNDUP(MONTH(SalesData[[#This Row],[Order Date]])/3,0)</f>
        <v>Q3</v>
      </c>
      <c r="T63">
        <f>YEAR(SalesData[[#This Row],[Order Date]])</f>
        <v>2025</v>
      </c>
      <c r="U63">
        <f>SalesData[[#This Row],[Profit]]/SalesData[[#This Row],[Sales]]</f>
        <v>0.17647058823529413</v>
      </c>
    </row>
    <row r="64" spans="1:21" x14ac:dyDescent="0.25">
      <c r="A64" t="s">
        <v>207</v>
      </c>
      <c r="B64" s="1">
        <v>45981</v>
      </c>
      <c r="C64" t="s">
        <v>208</v>
      </c>
      <c r="D64" t="s">
        <v>209</v>
      </c>
      <c r="E64" t="s">
        <v>70</v>
      </c>
      <c r="F64" t="s">
        <v>71</v>
      </c>
      <c r="G64" t="s">
        <v>22</v>
      </c>
      <c r="H64" t="s">
        <v>23</v>
      </c>
      <c r="I64" t="s">
        <v>80</v>
      </c>
      <c r="J64">
        <v>6</v>
      </c>
      <c r="K64">
        <v>1500</v>
      </c>
      <c r="L64">
        <v>0</v>
      </c>
      <c r="M64">
        <v>9000</v>
      </c>
      <c r="N64">
        <v>6300</v>
      </c>
      <c r="O64">
        <v>2700</v>
      </c>
      <c r="P64" t="s">
        <v>40</v>
      </c>
      <c r="Q64" t="s">
        <v>26</v>
      </c>
      <c r="R64" t="str">
        <f>TEXT(SalesData[[#This Row],[Order Date]],"mmm")</f>
        <v>Nov</v>
      </c>
      <c r="S64" s="2" t="str">
        <f>"Q"&amp;ROUNDUP(MONTH(SalesData[[#This Row],[Order Date]])/3,0)</f>
        <v>Q4</v>
      </c>
      <c r="T64">
        <f>YEAR(SalesData[[#This Row],[Order Date]])</f>
        <v>2025</v>
      </c>
      <c r="U64">
        <f>SalesData[[#This Row],[Profit]]/SalesData[[#This Row],[Sales]]</f>
        <v>0.3</v>
      </c>
    </row>
    <row r="65" spans="1:21" x14ac:dyDescent="0.25">
      <c r="A65" t="s">
        <v>210</v>
      </c>
      <c r="B65" s="1">
        <v>45737</v>
      </c>
      <c r="C65" t="s">
        <v>35</v>
      </c>
      <c r="D65" t="s">
        <v>49</v>
      </c>
      <c r="E65" t="s">
        <v>44</v>
      </c>
      <c r="F65" t="s">
        <v>45</v>
      </c>
      <c r="G65" t="s">
        <v>22</v>
      </c>
      <c r="H65" t="s">
        <v>46</v>
      </c>
      <c r="I65" t="s">
        <v>72</v>
      </c>
      <c r="J65">
        <v>5</v>
      </c>
      <c r="K65">
        <v>9500</v>
      </c>
      <c r="L65">
        <v>0</v>
      </c>
      <c r="M65">
        <v>47500</v>
      </c>
      <c r="N65">
        <v>33250</v>
      </c>
      <c r="O65">
        <v>14250</v>
      </c>
      <c r="P65" t="s">
        <v>54</v>
      </c>
      <c r="Q65" t="s">
        <v>26</v>
      </c>
      <c r="R65" t="str">
        <f>TEXT(SalesData[[#This Row],[Order Date]],"mmm")</f>
        <v>Mar</v>
      </c>
      <c r="S65" s="2" t="str">
        <f>"Q"&amp;ROUNDUP(MONTH(SalesData[[#This Row],[Order Date]])/3,0)</f>
        <v>Q1</v>
      </c>
      <c r="T65">
        <f>YEAR(SalesData[[#This Row],[Order Date]])</f>
        <v>2025</v>
      </c>
      <c r="U65">
        <f>SalesData[[#This Row],[Profit]]/SalesData[[#This Row],[Sales]]</f>
        <v>0.3</v>
      </c>
    </row>
    <row r="66" spans="1:21" x14ac:dyDescent="0.25">
      <c r="A66" t="s">
        <v>211</v>
      </c>
      <c r="B66" s="1">
        <v>45860</v>
      </c>
      <c r="C66" t="s">
        <v>212</v>
      </c>
      <c r="D66" t="s">
        <v>201</v>
      </c>
      <c r="E66" t="s">
        <v>93</v>
      </c>
      <c r="F66" t="s">
        <v>94</v>
      </c>
      <c r="G66" t="s">
        <v>64</v>
      </c>
      <c r="H66" t="s">
        <v>46</v>
      </c>
      <c r="I66" t="s">
        <v>72</v>
      </c>
      <c r="J66">
        <v>4</v>
      </c>
      <c r="K66">
        <v>4500</v>
      </c>
      <c r="L66">
        <v>15</v>
      </c>
      <c r="M66">
        <v>15300</v>
      </c>
      <c r="N66">
        <v>12600</v>
      </c>
      <c r="O66">
        <v>2700</v>
      </c>
      <c r="P66" t="s">
        <v>40</v>
      </c>
      <c r="Q66" t="s">
        <v>26</v>
      </c>
      <c r="R66" t="str">
        <f>TEXT(SalesData[[#This Row],[Order Date]],"mmm")</f>
        <v>Jul</v>
      </c>
      <c r="S66" s="2" t="str">
        <f>"Q"&amp;ROUNDUP(MONTH(SalesData[[#This Row],[Order Date]])/3,0)</f>
        <v>Q3</v>
      </c>
      <c r="T66">
        <f>YEAR(SalesData[[#This Row],[Order Date]])</f>
        <v>2025</v>
      </c>
      <c r="U66">
        <f>SalesData[[#This Row],[Profit]]/SalesData[[#This Row],[Sales]]</f>
        <v>0.17647058823529413</v>
      </c>
    </row>
    <row r="67" spans="1:21" x14ac:dyDescent="0.25">
      <c r="A67" t="s">
        <v>213</v>
      </c>
      <c r="B67" s="1">
        <v>45743</v>
      </c>
      <c r="C67" t="s">
        <v>214</v>
      </c>
      <c r="D67" t="s">
        <v>83</v>
      </c>
      <c r="E67" t="s">
        <v>44</v>
      </c>
      <c r="F67" t="s">
        <v>45</v>
      </c>
      <c r="G67" t="s">
        <v>22</v>
      </c>
      <c r="H67" t="s">
        <v>65</v>
      </c>
      <c r="I67" t="s">
        <v>39</v>
      </c>
      <c r="J67">
        <v>2</v>
      </c>
      <c r="K67">
        <v>9500</v>
      </c>
      <c r="L67">
        <v>10</v>
      </c>
      <c r="M67">
        <v>17100</v>
      </c>
      <c r="N67">
        <v>13300</v>
      </c>
      <c r="O67">
        <v>3800</v>
      </c>
      <c r="P67" t="s">
        <v>25</v>
      </c>
      <c r="Q67" t="s">
        <v>33</v>
      </c>
      <c r="R67" t="str">
        <f>TEXT(SalesData[[#This Row],[Order Date]],"mmm")</f>
        <v>Mar</v>
      </c>
      <c r="S67" s="2" t="str">
        <f>"Q"&amp;ROUNDUP(MONTH(SalesData[[#This Row],[Order Date]])/3,0)</f>
        <v>Q1</v>
      </c>
      <c r="T67">
        <f>YEAR(SalesData[[#This Row],[Order Date]])</f>
        <v>2025</v>
      </c>
      <c r="U67">
        <f>SalesData[[#This Row],[Profit]]/SalesData[[#This Row],[Sales]]</f>
        <v>0.22222222222222221</v>
      </c>
    </row>
    <row r="68" spans="1:21" x14ac:dyDescent="0.25">
      <c r="A68" t="s">
        <v>215</v>
      </c>
      <c r="B68" s="1">
        <v>46002</v>
      </c>
      <c r="C68" t="s">
        <v>216</v>
      </c>
      <c r="D68" t="s">
        <v>166</v>
      </c>
      <c r="E68" t="s">
        <v>44</v>
      </c>
      <c r="F68" t="s">
        <v>45</v>
      </c>
      <c r="G68" t="s">
        <v>22</v>
      </c>
      <c r="H68" t="s">
        <v>23</v>
      </c>
      <c r="I68" t="s">
        <v>72</v>
      </c>
      <c r="J68">
        <v>3</v>
      </c>
      <c r="K68">
        <v>9500</v>
      </c>
      <c r="L68">
        <v>20</v>
      </c>
      <c r="M68">
        <v>22800</v>
      </c>
      <c r="N68">
        <v>19950</v>
      </c>
      <c r="O68">
        <v>2850</v>
      </c>
      <c r="P68" t="s">
        <v>58</v>
      </c>
      <c r="Q68" t="s">
        <v>76</v>
      </c>
      <c r="R68" t="str">
        <f>TEXT(SalesData[[#This Row],[Order Date]],"mmm")</f>
        <v>Dec</v>
      </c>
      <c r="S68" s="2" t="str">
        <f>"Q"&amp;ROUNDUP(MONTH(SalesData[[#This Row],[Order Date]])/3,0)</f>
        <v>Q4</v>
      </c>
      <c r="T68">
        <f>YEAR(SalesData[[#This Row],[Order Date]])</f>
        <v>2025</v>
      </c>
      <c r="U68">
        <f>SalesData[[#This Row],[Profit]]/SalesData[[#This Row],[Sales]]</f>
        <v>0.125</v>
      </c>
    </row>
    <row r="69" spans="1:21" x14ac:dyDescent="0.25">
      <c r="A69" t="s">
        <v>217</v>
      </c>
      <c r="B69" s="1">
        <v>45957</v>
      </c>
      <c r="C69" t="s">
        <v>190</v>
      </c>
      <c r="D69" t="s">
        <v>128</v>
      </c>
      <c r="E69" t="s">
        <v>20</v>
      </c>
      <c r="F69" t="s">
        <v>21</v>
      </c>
      <c r="G69" t="s">
        <v>22</v>
      </c>
      <c r="H69" t="s">
        <v>32</v>
      </c>
      <c r="I69" t="s">
        <v>53</v>
      </c>
      <c r="J69">
        <v>6</v>
      </c>
      <c r="K69">
        <v>3500</v>
      </c>
      <c r="L69">
        <v>5</v>
      </c>
      <c r="M69">
        <v>19950</v>
      </c>
      <c r="N69">
        <v>14700</v>
      </c>
      <c r="O69">
        <v>5250.0000000000018</v>
      </c>
      <c r="P69" t="s">
        <v>25</v>
      </c>
      <c r="Q69" t="s">
        <v>76</v>
      </c>
      <c r="R69" t="str">
        <f>TEXT(SalesData[[#This Row],[Order Date]],"mmm")</f>
        <v>Oct</v>
      </c>
      <c r="S69" s="2" t="str">
        <f>"Q"&amp;ROUNDUP(MONTH(SalesData[[#This Row],[Order Date]])/3,0)</f>
        <v>Q4</v>
      </c>
      <c r="T69">
        <f>YEAR(SalesData[[#This Row],[Order Date]])</f>
        <v>2025</v>
      </c>
      <c r="U69">
        <f>SalesData[[#This Row],[Profit]]/SalesData[[#This Row],[Sales]]</f>
        <v>0.2631578947368422</v>
      </c>
    </row>
    <row r="70" spans="1:21" x14ac:dyDescent="0.25">
      <c r="A70" t="s">
        <v>218</v>
      </c>
      <c r="B70" s="1">
        <v>45706</v>
      </c>
      <c r="C70" t="s">
        <v>219</v>
      </c>
      <c r="D70" t="s">
        <v>97</v>
      </c>
      <c r="E70" t="s">
        <v>50</v>
      </c>
      <c r="F70" t="s">
        <v>51</v>
      </c>
      <c r="G70" t="s">
        <v>52</v>
      </c>
      <c r="H70" t="s">
        <v>23</v>
      </c>
      <c r="I70" t="s">
        <v>24</v>
      </c>
      <c r="J70">
        <v>4</v>
      </c>
      <c r="K70">
        <v>3200</v>
      </c>
      <c r="L70">
        <v>10</v>
      </c>
      <c r="M70">
        <v>11520</v>
      </c>
      <c r="N70">
        <v>8960</v>
      </c>
      <c r="O70">
        <v>2560</v>
      </c>
      <c r="P70" t="s">
        <v>25</v>
      </c>
      <c r="Q70" t="s">
        <v>26</v>
      </c>
      <c r="R70" t="str">
        <f>TEXT(SalesData[[#This Row],[Order Date]],"mmm")</f>
        <v>Feb</v>
      </c>
      <c r="S70" s="2" t="str">
        <f>"Q"&amp;ROUNDUP(MONTH(SalesData[[#This Row],[Order Date]])/3,0)</f>
        <v>Q1</v>
      </c>
      <c r="T70">
        <f>YEAR(SalesData[[#This Row],[Order Date]])</f>
        <v>2025</v>
      </c>
      <c r="U70">
        <f>SalesData[[#This Row],[Profit]]/SalesData[[#This Row],[Sales]]</f>
        <v>0.22222222222222221</v>
      </c>
    </row>
    <row r="71" spans="1:21" x14ac:dyDescent="0.25">
      <c r="A71" t="s">
        <v>220</v>
      </c>
      <c r="B71" s="1">
        <v>45769</v>
      </c>
      <c r="C71" t="s">
        <v>221</v>
      </c>
      <c r="D71" t="s">
        <v>222</v>
      </c>
      <c r="E71" t="s">
        <v>37</v>
      </c>
      <c r="F71" t="s">
        <v>38</v>
      </c>
      <c r="G71" t="s">
        <v>22</v>
      </c>
      <c r="H71" t="s">
        <v>23</v>
      </c>
      <c r="I71" t="s">
        <v>66</v>
      </c>
      <c r="J71">
        <v>1</v>
      </c>
      <c r="K71">
        <v>55000</v>
      </c>
      <c r="L71">
        <v>15</v>
      </c>
      <c r="M71">
        <v>46750</v>
      </c>
      <c r="N71">
        <v>38500</v>
      </c>
      <c r="O71">
        <v>8250</v>
      </c>
      <c r="P71" t="s">
        <v>54</v>
      </c>
      <c r="Q71" t="s">
        <v>33</v>
      </c>
      <c r="R71" t="str">
        <f>TEXT(SalesData[[#This Row],[Order Date]],"mmm")</f>
        <v>Apr</v>
      </c>
      <c r="S71" s="2" t="str">
        <f>"Q"&amp;ROUNDUP(MONTH(SalesData[[#This Row],[Order Date]])/3,0)</f>
        <v>Q2</v>
      </c>
      <c r="T71">
        <f>YEAR(SalesData[[#This Row],[Order Date]])</f>
        <v>2025</v>
      </c>
      <c r="U71">
        <f>SalesData[[#This Row],[Profit]]/SalesData[[#This Row],[Sales]]</f>
        <v>0.17647058823529413</v>
      </c>
    </row>
    <row r="72" spans="1:21" x14ac:dyDescent="0.25">
      <c r="A72" t="s">
        <v>223</v>
      </c>
      <c r="B72" s="1">
        <v>45753</v>
      </c>
      <c r="C72" t="s">
        <v>203</v>
      </c>
      <c r="D72" t="s">
        <v>224</v>
      </c>
      <c r="E72" t="s">
        <v>30</v>
      </c>
      <c r="F72" t="s">
        <v>31</v>
      </c>
      <c r="G72" t="s">
        <v>22</v>
      </c>
      <c r="H72" t="s">
        <v>65</v>
      </c>
      <c r="I72" t="s">
        <v>80</v>
      </c>
      <c r="J72">
        <v>4</v>
      </c>
      <c r="K72">
        <v>800</v>
      </c>
      <c r="L72">
        <v>0</v>
      </c>
      <c r="M72">
        <v>3200</v>
      </c>
      <c r="N72">
        <v>2240</v>
      </c>
      <c r="O72">
        <v>960</v>
      </c>
      <c r="P72" t="s">
        <v>58</v>
      </c>
      <c r="Q72" t="s">
        <v>76</v>
      </c>
      <c r="R72" t="str">
        <f>TEXT(SalesData[[#This Row],[Order Date]],"mmm")</f>
        <v>Apr</v>
      </c>
      <c r="S72" s="2" t="str">
        <f>"Q"&amp;ROUNDUP(MONTH(SalesData[[#This Row],[Order Date]])/3,0)</f>
        <v>Q2</v>
      </c>
      <c r="T72">
        <f>YEAR(SalesData[[#This Row],[Order Date]])</f>
        <v>2025</v>
      </c>
      <c r="U72">
        <f>SalesData[[#This Row],[Profit]]/SalesData[[#This Row],[Sales]]</f>
        <v>0.3</v>
      </c>
    </row>
    <row r="73" spans="1:21" x14ac:dyDescent="0.25">
      <c r="A73" t="s">
        <v>225</v>
      </c>
      <c r="B73" s="1">
        <v>45961</v>
      </c>
      <c r="C73" t="s">
        <v>226</v>
      </c>
      <c r="D73" t="s">
        <v>191</v>
      </c>
      <c r="E73" t="s">
        <v>70</v>
      </c>
      <c r="F73" t="s">
        <v>71</v>
      </c>
      <c r="G73" t="s">
        <v>22</v>
      </c>
      <c r="H73" t="s">
        <v>46</v>
      </c>
      <c r="I73" t="s">
        <v>72</v>
      </c>
      <c r="J73">
        <v>4</v>
      </c>
      <c r="K73">
        <v>1500</v>
      </c>
      <c r="L73">
        <v>5</v>
      </c>
      <c r="M73">
        <v>5700</v>
      </c>
      <c r="N73">
        <v>4200</v>
      </c>
      <c r="O73">
        <v>1500</v>
      </c>
      <c r="P73" t="s">
        <v>40</v>
      </c>
      <c r="Q73" t="s">
        <v>33</v>
      </c>
      <c r="R73" t="str">
        <f>TEXT(SalesData[[#This Row],[Order Date]],"mmm")</f>
        <v>Oct</v>
      </c>
      <c r="S73" s="2" t="str">
        <f>"Q"&amp;ROUNDUP(MONTH(SalesData[[#This Row],[Order Date]])/3,0)</f>
        <v>Q4</v>
      </c>
      <c r="T73">
        <f>YEAR(SalesData[[#This Row],[Order Date]])</f>
        <v>2025</v>
      </c>
      <c r="U73">
        <f>SalesData[[#This Row],[Profit]]/SalesData[[#This Row],[Sales]]</f>
        <v>0.26315789473684209</v>
      </c>
    </row>
    <row r="74" spans="1:21" x14ac:dyDescent="0.25">
      <c r="A74" t="s">
        <v>227</v>
      </c>
      <c r="B74" s="1">
        <v>45723</v>
      </c>
      <c r="C74" t="s">
        <v>102</v>
      </c>
      <c r="D74" t="s">
        <v>29</v>
      </c>
      <c r="E74" t="s">
        <v>44</v>
      </c>
      <c r="F74" t="s">
        <v>45</v>
      </c>
      <c r="G74" t="s">
        <v>22</v>
      </c>
      <c r="H74" t="s">
        <v>46</v>
      </c>
      <c r="I74" t="s">
        <v>72</v>
      </c>
      <c r="J74">
        <v>6</v>
      </c>
      <c r="K74">
        <v>9500</v>
      </c>
      <c r="L74">
        <v>20</v>
      </c>
      <c r="M74">
        <v>45600</v>
      </c>
      <c r="N74">
        <v>39900</v>
      </c>
      <c r="O74">
        <v>5700</v>
      </c>
      <c r="P74" t="s">
        <v>54</v>
      </c>
      <c r="Q74" t="s">
        <v>76</v>
      </c>
      <c r="R74" t="str">
        <f>TEXT(SalesData[[#This Row],[Order Date]],"mmm")</f>
        <v>Mar</v>
      </c>
      <c r="S74" s="2" t="str">
        <f>"Q"&amp;ROUNDUP(MONTH(SalesData[[#This Row],[Order Date]])/3,0)</f>
        <v>Q1</v>
      </c>
      <c r="T74">
        <f>YEAR(SalesData[[#This Row],[Order Date]])</f>
        <v>2025</v>
      </c>
      <c r="U74">
        <f>SalesData[[#This Row],[Profit]]/SalesData[[#This Row],[Sales]]</f>
        <v>0.125</v>
      </c>
    </row>
    <row r="75" spans="1:21" x14ac:dyDescent="0.25">
      <c r="A75" t="s">
        <v>228</v>
      </c>
      <c r="B75" s="1">
        <v>45984</v>
      </c>
      <c r="C75" t="s">
        <v>229</v>
      </c>
      <c r="D75" t="s">
        <v>230</v>
      </c>
      <c r="E75" t="s">
        <v>37</v>
      </c>
      <c r="F75" t="s">
        <v>38</v>
      </c>
      <c r="G75" t="s">
        <v>22</v>
      </c>
      <c r="H75" t="s">
        <v>65</v>
      </c>
      <c r="I75" t="s">
        <v>24</v>
      </c>
      <c r="J75">
        <v>6</v>
      </c>
      <c r="K75">
        <v>55000</v>
      </c>
      <c r="L75">
        <v>15</v>
      </c>
      <c r="M75">
        <v>280500</v>
      </c>
      <c r="N75">
        <v>231000</v>
      </c>
      <c r="O75">
        <v>49500.000000000029</v>
      </c>
      <c r="P75" t="s">
        <v>40</v>
      </c>
      <c r="Q75" t="s">
        <v>26</v>
      </c>
      <c r="R75" t="str">
        <f>TEXT(SalesData[[#This Row],[Order Date]],"mmm")</f>
        <v>Nov</v>
      </c>
      <c r="S75" s="2" t="str">
        <f>"Q"&amp;ROUNDUP(MONTH(SalesData[[#This Row],[Order Date]])/3,0)</f>
        <v>Q4</v>
      </c>
      <c r="T75">
        <f>YEAR(SalesData[[#This Row],[Order Date]])</f>
        <v>2025</v>
      </c>
      <c r="U75">
        <f>SalesData[[#This Row],[Profit]]/SalesData[[#This Row],[Sales]]</f>
        <v>0.17647058823529421</v>
      </c>
    </row>
    <row r="76" spans="1:21" x14ac:dyDescent="0.25">
      <c r="A76" t="s">
        <v>231</v>
      </c>
      <c r="B76" s="1">
        <v>45772</v>
      </c>
      <c r="C76" t="s">
        <v>232</v>
      </c>
      <c r="D76" t="s">
        <v>169</v>
      </c>
      <c r="E76" t="s">
        <v>30</v>
      </c>
      <c r="F76" t="s">
        <v>31</v>
      </c>
      <c r="G76" t="s">
        <v>22</v>
      </c>
      <c r="H76" t="s">
        <v>46</v>
      </c>
      <c r="I76" t="s">
        <v>53</v>
      </c>
      <c r="J76">
        <v>6</v>
      </c>
      <c r="K76">
        <v>800</v>
      </c>
      <c r="L76">
        <v>0</v>
      </c>
      <c r="M76">
        <v>4800</v>
      </c>
      <c r="N76">
        <v>3360</v>
      </c>
      <c r="O76">
        <v>1440</v>
      </c>
      <c r="P76" t="s">
        <v>25</v>
      </c>
      <c r="Q76" t="s">
        <v>26</v>
      </c>
      <c r="R76" t="str">
        <f>TEXT(SalesData[[#This Row],[Order Date]],"mmm")</f>
        <v>Apr</v>
      </c>
      <c r="S76" s="2" t="str">
        <f>"Q"&amp;ROUNDUP(MONTH(SalesData[[#This Row],[Order Date]])/3,0)</f>
        <v>Q2</v>
      </c>
      <c r="T76">
        <f>YEAR(SalesData[[#This Row],[Order Date]])</f>
        <v>2025</v>
      </c>
      <c r="U76">
        <f>SalesData[[#This Row],[Profit]]/SalesData[[#This Row],[Sales]]</f>
        <v>0.3</v>
      </c>
    </row>
    <row r="77" spans="1:21" x14ac:dyDescent="0.25">
      <c r="A77" t="s">
        <v>233</v>
      </c>
      <c r="B77" s="1">
        <v>45850</v>
      </c>
      <c r="C77" t="s">
        <v>234</v>
      </c>
      <c r="D77" t="s">
        <v>235</v>
      </c>
      <c r="E77" t="s">
        <v>30</v>
      </c>
      <c r="F77" t="s">
        <v>31</v>
      </c>
      <c r="G77" t="s">
        <v>22</v>
      </c>
      <c r="H77" t="s">
        <v>65</v>
      </c>
      <c r="I77" t="s">
        <v>80</v>
      </c>
      <c r="J77">
        <v>8</v>
      </c>
      <c r="K77">
        <v>800</v>
      </c>
      <c r="L77">
        <v>5</v>
      </c>
      <c r="M77">
        <v>6080</v>
      </c>
      <c r="N77">
        <v>4480</v>
      </c>
      <c r="O77">
        <v>1600</v>
      </c>
      <c r="P77" t="s">
        <v>58</v>
      </c>
      <c r="Q77" t="s">
        <v>76</v>
      </c>
      <c r="R77" t="str">
        <f>TEXT(SalesData[[#This Row],[Order Date]],"mmm")</f>
        <v>Jul</v>
      </c>
      <c r="S77" s="2" t="str">
        <f>"Q"&amp;ROUNDUP(MONTH(SalesData[[#This Row],[Order Date]])/3,0)</f>
        <v>Q3</v>
      </c>
      <c r="T77">
        <f>YEAR(SalesData[[#This Row],[Order Date]])</f>
        <v>2025</v>
      </c>
      <c r="U77">
        <f>SalesData[[#This Row],[Profit]]/SalesData[[#This Row],[Sales]]</f>
        <v>0.26315789473684209</v>
      </c>
    </row>
    <row r="78" spans="1:21" x14ac:dyDescent="0.25">
      <c r="A78" t="s">
        <v>236</v>
      </c>
      <c r="B78" s="1">
        <v>45858</v>
      </c>
      <c r="C78" t="s">
        <v>237</v>
      </c>
      <c r="D78" t="s">
        <v>238</v>
      </c>
      <c r="E78" t="s">
        <v>50</v>
      </c>
      <c r="F78" t="s">
        <v>51</v>
      </c>
      <c r="G78" t="s">
        <v>52</v>
      </c>
      <c r="H78" t="s">
        <v>32</v>
      </c>
      <c r="I78" t="s">
        <v>53</v>
      </c>
      <c r="J78">
        <v>10</v>
      </c>
      <c r="K78">
        <v>3200</v>
      </c>
      <c r="L78">
        <v>0</v>
      </c>
      <c r="M78">
        <v>32000</v>
      </c>
      <c r="N78">
        <v>22400</v>
      </c>
      <c r="O78">
        <v>9600</v>
      </c>
      <c r="P78" t="s">
        <v>25</v>
      </c>
      <c r="Q78" t="s">
        <v>26</v>
      </c>
      <c r="R78" t="str">
        <f>TEXT(SalesData[[#This Row],[Order Date]],"mmm")</f>
        <v>Jul</v>
      </c>
      <c r="S78" s="2" t="str">
        <f>"Q"&amp;ROUNDUP(MONTH(SalesData[[#This Row],[Order Date]])/3,0)</f>
        <v>Q3</v>
      </c>
      <c r="T78">
        <f>YEAR(SalesData[[#This Row],[Order Date]])</f>
        <v>2025</v>
      </c>
      <c r="U78">
        <f>SalesData[[#This Row],[Profit]]/SalesData[[#This Row],[Sales]]</f>
        <v>0.3</v>
      </c>
    </row>
    <row r="79" spans="1:21" x14ac:dyDescent="0.25">
      <c r="A79" t="s">
        <v>239</v>
      </c>
      <c r="B79" s="1">
        <v>45768</v>
      </c>
      <c r="C79" t="s">
        <v>125</v>
      </c>
      <c r="D79" t="s">
        <v>240</v>
      </c>
      <c r="E79" t="s">
        <v>62</v>
      </c>
      <c r="F79" t="s">
        <v>63</v>
      </c>
      <c r="G79" t="s">
        <v>64</v>
      </c>
      <c r="H79" t="s">
        <v>65</v>
      </c>
      <c r="I79" t="s">
        <v>72</v>
      </c>
      <c r="J79">
        <v>9</v>
      </c>
      <c r="K79">
        <v>8500</v>
      </c>
      <c r="L79">
        <v>5</v>
      </c>
      <c r="M79">
        <v>72675</v>
      </c>
      <c r="N79">
        <v>53550</v>
      </c>
      <c r="O79">
        <v>19125</v>
      </c>
      <c r="P79" t="s">
        <v>58</v>
      </c>
      <c r="Q79" t="s">
        <v>76</v>
      </c>
      <c r="R79" t="str">
        <f>TEXT(SalesData[[#This Row],[Order Date]],"mmm")</f>
        <v>Apr</v>
      </c>
      <c r="S79" s="2" t="str">
        <f>"Q"&amp;ROUNDUP(MONTH(SalesData[[#This Row],[Order Date]])/3,0)</f>
        <v>Q2</v>
      </c>
      <c r="T79">
        <f>YEAR(SalesData[[#This Row],[Order Date]])</f>
        <v>2025</v>
      </c>
      <c r="U79">
        <f>SalesData[[#This Row],[Profit]]/SalesData[[#This Row],[Sales]]</f>
        <v>0.26315789473684209</v>
      </c>
    </row>
    <row r="80" spans="1:21" x14ac:dyDescent="0.25">
      <c r="A80" t="s">
        <v>241</v>
      </c>
      <c r="B80" s="1">
        <v>45926</v>
      </c>
      <c r="C80" t="s">
        <v>242</v>
      </c>
      <c r="D80" t="s">
        <v>49</v>
      </c>
      <c r="E80" t="s">
        <v>37</v>
      </c>
      <c r="F80" t="s">
        <v>38</v>
      </c>
      <c r="G80" t="s">
        <v>22</v>
      </c>
      <c r="H80" t="s">
        <v>46</v>
      </c>
      <c r="I80" t="s">
        <v>72</v>
      </c>
      <c r="J80">
        <v>10</v>
      </c>
      <c r="K80">
        <v>55000</v>
      </c>
      <c r="L80">
        <v>20</v>
      </c>
      <c r="M80">
        <v>440000</v>
      </c>
      <c r="N80">
        <v>385000</v>
      </c>
      <c r="O80">
        <v>55000</v>
      </c>
      <c r="P80" t="s">
        <v>25</v>
      </c>
      <c r="Q80" t="s">
        <v>26</v>
      </c>
      <c r="R80" t="str">
        <f>TEXT(SalesData[[#This Row],[Order Date]],"mmm")</f>
        <v>Sep</v>
      </c>
      <c r="S80" s="2" t="str">
        <f>"Q"&amp;ROUNDUP(MONTH(SalesData[[#This Row],[Order Date]])/3,0)</f>
        <v>Q3</v>
      </c>
      <c r="T80">
        <f>YEAR(SalesData[[#This Row],[Order Date]])</f>
        <v>2025</v>
      </c>
      <c r="U80">
        <f>SalesData[[#This Row],[Profit]]/SalesData[[#This Row],[Sales]]</f>
        <v>0.125</v>
      </c>
    </row>
    <row r="81" spans="1:21" x14ac:dyDescent="0.25">
      <c r="A81" t="s">
        <v>243</v>
      </c>
      <c r="B81" s="1">
        <v>45911</v>
      </c>
      <c r="C81" t="s">
        <v>78</v>
      </c>
      <c r="D81" t="s">
        <v>110</v>
      </c>
      <c r="E81" t="s">
        <v>20</v>
      </c>
      <c r="F81" t="s">
        <v>21</v>
      </c>
      <c r="G81" t="s">
        <v>22</v>
      </c>
      <c r="H81" t="s">
        <v>23</v>
      </c>
      <c r="I81" t="s">
        <v>24</v>
      </c>
      <c r="J81">
        <v>4</v>
      </c>
      <c r="K81">
        <v>3500</v>
      </c>
      <c r="L81">
        <v>10</v>
      </c>
      <c r="M81">
        <v>12600</v>
      </c>
      <c r="N81">
        <v>9800</v>
      </c>
      <c r="O81">
        <v>2800</v>
      </c>
      <c r="P81" t="s">
        <v>25</v>
      </c>
      <c r="Q81" t="s">
        <v>33</v>
      </c>
      <c r="R81" t="str">
        <f>TEXT(SalesData[[#This Row],[Order Date]],"mmm")</f>
        <v>Sep</v>
      </c>
      <c r="S81" s="2" t="str">
        <f>"Q"&amp;ROUNDUP(MONTH(SalesData[[#This Row],[Order Date]])/3,0)</f>
        <v>Q3</v>
      </c>
      <c r="T81">
        <f>YEAR(SalesData[[#This Row],[Order Date]])</f>
        <v>2025</v>
      </c>
      <c r="U81">
        <f>SalesData[[#This Row],[Profit]]/SalesData[[#This Row],[Sales]]</f>
        <v>0.22222222222222221</v>
      </c>
    </row>
    <row r="82" spans="1:21" x14ac:dyDescent="0.25">
      <c r="A82" t="s">
        <v>244</v>
      </c>
      <c r="B82" s="1">
        <v>45819</v>
      </c>
      <c r="C82" t="s">
        <v>35</v>
      </c>
      <c r="D82" t="s">
        <v>230</v>
      </c>
      <c r="E82" t="s">
        <v>44</v>
      </c>
      <c r="F82" t="s">
        <v>45</v>
      </c>
      <c r="G82" t="s">
        <v>22</v>
      </c>
      <c r="H82" t="s">
        <v>32</v>
      </c>
      <c r="I82" t="s">
        <v>39</v>
      </c>
      <c r="J82">
        <v>5</v>
      </c>
      <c r="K82">
        <v>9500</v>
      </c>
      <c r="L82">
        <v>15</v>
      </c>
      <c r="M82">
        <v>40375</v>
      </c>
      <c r="N82">
        <v>33250</v>
      </c>
      <c r="O82">
        <v>7125</v>
      </c>
      <c r="P82" t="s">
        <v>58</v>
      </c>
      <c r="Q82" t="s">
        <v>76</v>
      </c>
      <c r="R82" t="str">
        <f>TEXT(SalesData[[#This Row],[Order Date]],"mmm")</f>
        <v>Jun</v>
      </c>
      <c r="S82" s="2" t="str">
        <f>"Q"&amp;ROUNDUP(MONTH(SalesData[[#This Row],[Order Date]])/3,0)</f>
        <v>Q2</v>
      </c>
      <c r="T82">
        <f>YEAR(SalesData[[#This Row],[Order Date]])</f>
        <v>2025</v>
      </c>
      <c r="U82">
        <f>SalesData[[#This Row],[Profit]]/SalesData[[#This Row],[Sales]]</f>
        <v>0.17647058823529413</v>
      </c>
    </row>
    <row r="83" spans="1:21" x14ac:dyDescent="0.25">
      <c r="A83" t="s">
        <v>245</v>
      </c>
      <c r="B83" s="1">
        <v>45749</v>
      </c>
      <c r="C83" t="s">
        <v>246</v>
      </c>
      <c r="D83" t="s">
        <v>247</v>
      </c>
      <c r="E83" t="s">
        <v>70</v>
      </c>
      <c r="F83" t="s">
        <v>71</v>
      </c>
      <c r="G83" t="s">
        <v>22</v>
      </c>
      <c r="H83" t="s">
        <v>32</v>
      </c>
      <c r="I83" t="s">
        <v>53</v>
      </c>
      <c r="J83">
        <v>8</v>
      </c>
      <c r="K83">
        <v>1500</v>
      </c>
      <c r="L83">
        <v>20</v>
      </c>
      <c r="M83">
        <v>9600</v>
      </c>
      <c r="N83">
        <v>8400</v>
      </c>
      <c r="O83">
        <v>1200</v>
      </c>
      <c r="P83" t="s">
        <v>25</v>
      </c>
      <c r="Q83" t="s">
        <v>76</v>
      </c>
      <c r="R83" t="str">
        <f>TEXT(SalesData[[#This Row],[Order Date]],"mmm")</f>
        <v>Apr</v>
      </c>
      <c r="S83" s="2" t="str">
        <f>"Q"&amp;ROUNDUP(MONTH(SalesData[[#This Row],[Order Date]])/3,0)</f>
        <v>Q2</v>
      </c>
      <c r="T83">
        <f>YEAR(SalesData[[#This Row],[Order Date]])</f>
        <v>2025</v>
      </c>
      <c r="U83">
        <f>SalesData[[#This Row],[Profit]]/SalesData[[#This Row],[Sales]]</f>
        <v>0.125</v>
      </c>
    </row>
    <row r="84" spans="1:21" x14ac:dyDescent="0.25">
      <c r="A84" t="s">
        <v>248</v>
      </c>
      <c r="B84" s="1">
        <v>45969</v>
      </c>
      <c r="C84" t="s">
        <v>150</v>
      </c>
      <c r="D84" t="s">
        <v>75</v>
      </c>
      <c r="E84" t="s">
        <v>30</v>
      </c>
      <c r="F84" t="s">
        <v>31</v>
      </c>
      <c r="G84" t="s">
        <v>22</v>
      </c>
      <c r="H84" t="s">
        <v>23</v>
      </c>
      <c r="I84" t="s">
        <v>39</v>
      </c>
      <c r="J84">
        <v>4</v>
      </c>
      <c r="K84">
        <v>800</v>
      </c>
      <c r="L84">
        <v>5</v>
      </c>
      <c r="M84">
        <v>3040</v>
      </c>
      <c r="N84">
        <v>2240</v>
      </c>
      <c r="O84">
        <v>800</v>
      </c>
      <c r="P84" t="s">
        <v>58</v>
      </c>
      <c r="Q84" t="s">
        <v>33</v>
      </c>
      <c r="R84" t="str">
        <f>TEXT(SalesData[[#This Row],[Order Date]],"mmm")</f>
        <v>Nov</v>
      </c>
      <c r="S84" s="2" t="str">
        <f>"Q"&amp;ROUNDUP(MONTH(SalesData[[#This Row],[Order Date]])/3,0)</f>
        <v>Q4</v>
      </c>
      <c r="T84">
        <f>YEAR(SalesData[[#This Row],[Order Date]])</f>
        <v>2025</v>
      </c>
      <c r="U84">
        <f>SalesData[[#This Row],[Profit]]/SalesData[[#This Row],[Sales]]</f>
        <v>0.26315789473684209</v>
      </c>
    </row>
    <row r="85" spans="1:21" x14ac:dyDescent="0.25">
      <c r="A85" t="s">
        <v>249</v>
      </c>
      <c r="B85" s="1">
        <v>45983</v>
      </c>
      <c r="C85" t="s">
        <v>250</v>
      </c>
      <c r="D85" t="s">
        <v>191</v>
      </c>
      <c r="E85" t="s">
        <v>93</v>
      </c>
      <c r="F85" t="s">
        <v>94</v>
      </c>
      <c r="G85" t="s">
        <v>64</v>
      </c>
      <c r="H85" t="s">
        <v>65</v>
      </c>
      <c r="I85" t="s">
        <v>24</v>
      </c>
      <c r="J85">
        <v>8</v>
      </c>
      <c r="K85">
        <v>4500</v>
      </c>
      <c r="L85">
        <v>10</v>
      </c>
      <c r="M85">
        <v>32400</v>
      </c>
      <c r="N85">
        <v>25200</v>
      </c>
      <c r="O85">
        <v>7200</v>
      </c>
      <c r="P85" t="s">
        <v>58</v>
      </c>
      <c r="Q85" t="s">
        <v>26</v>
      </c>
      <c r="R85" t="str">
        <f>TEXT(SalesData[[#This Row],[Order Date]],"mmm")</f>
        <v>Nov</v>
      </c>
      <c r="S85" s="2" t="str">
        <f>"Q"&amp;ROUNDUP(MONTH(SalesData[[#This Row],[Order Date]])/3,0)</f>
        <v>Q4</v>
      </c>
      <c r="T85">
        <f>YEAR(SalesData[[#This Row],[Order Date]])</f>
        <v>2025</v>
      </c>
      <c r="U85">
        <f>SalesData[[#This Row],[Profit]]/SalesData[[#This Row],[Sales]]</f>
        <v>0.22222222222222221</v>
      </c>
    </row>
    <row r="86" spans="1:21" x14ac:dyDescent="0.25">
      <c r="A86" t="s">
        <v>251</v>
      </c>
      <c r="B86" s="1">
        <v>45802</v>
      </c>
      <c r="C86" t="s">
        <v>252</v>
      </c>
      <c r="D86" t="s">
        <v>253</v>
      </c>
      <c r="E86" t="s">
        <v>93</v>
      </c>
      <c r="F86" t="s">
        <v>94</v>
      </c>
      <c r="G86" t="s">
        <v>64</v>
      </c>
      <c r="H86" t="s">
        <v>32</v>
      </c>
      <c r="I86" t="s">
        <v>80</v>
      </c>
      <c r="J86">
        <v>3</v>
      </c>
      <c r="K86">
        <v>4500</v>
      </c>
      <c r="L86">
        <v>20</v>
      </c>
      <c r="M86">
        <v>10800</v>
      </c>
      <c r="N86">
        <v>9450</v>
      </c>
      <c r="O86">
        <v>1350</v>
      </c>
      <c r="P86" t="s">
        <v>40</v>
      </c>
      <c r="Q86" t="s">
        <v>33</v>
      </c>
      <c r="R86" t="str">
        <f>TEXT(SalesData[[#This Row],[Order Date]],"mmm")</f>
        <v>May</v>
      </c>
      <c r="S86" s="2" t="str">
        <f>"Q"&amp;ROUNDUP(MONTH(SalesData[[#This Row],[Order Date]])/3,0)</f>
        <v>Q2</v>
      </c>
      <c r="T86">
        <f>YEAR(SalesData[[#This Row],[Order Date]])</f>
        <v>2025</v>
      </c>
      <c r="U86">
        <f>SalesData[[#This Row],[Profit]]/SalesData[[#This Row],[Sales]]</f>
        <v>0.125</v>
      </c>
    </row>
    <row r="87" spans="1:21" x14ac:dyDescent="0.25">
      <c r="A87" t="s">
        <v>254</v>
      </c>
      <c r="B87" s="1">
        <v>45935</v>
      </c>
      <c r="C87" t="s">
        <v>150</v>
      </c>
      <c r="D87" t="s">
        <v>185</v>
      </c>
      <c r="E87" t="s">
        <v>37</v>
      </c>
      <c r="F87" t="s">
        <v>38</v>
      </c>
      <c r="G87" t="s">
        <v>22</v>
      </c>
      <c r="H87" t="s">
        <v>23</v>
      </c>
      <c r="I87" t="s">
        <v>72</v>
      </c>
      <c r="J87">
        <v>1</v>
      </c>
      <c r="K87">
        <v>55000</v>
      </c>
      <c r="L87">
        <v>20</v>
      </c>
      <c r="M87">
        <v>44000</v>
      </c>
      <c r="N87">
        <v>38500</v>
      </c>
      <c r="O87">
        <v>5500</v>
      </c>
      <c r="P87" t="s">
        <v>25</v>
      </c>
      <c r="Q87" t="s">
        <v>26</v>
      </c>
      <c r="R87" t="str">
        <f>TEXT(SalesData[[#This Row],[Order Date]],"mmm")</f>
        <v>Oct</v>
      </c>
      <c r="S87" s="2" t="str">
        <f>"Q"&amp;ROUNDUP(MONTH(SalesData[[#This Row],[Order Date]])/3,0)</f>
        <v>Q4</v>
      </c>
      <c r="T87">
        <f>YEAR(SalesData[[#This Row],[Order Date]])</f>
        <v>2025</v>
      </c>
      <c r="U87">
        <f>SalesData[[#This Row],[Profit]]/SalesData[[#This Row],[Sales]]</f>
        <v>0.125</v>
      </c>
    </row>
    <row r="88" spans="1:21" x14ac:dyDescent="0.25">
      <c r="A88" t="s">
        <v>255</v>
      </c>
      <c r="B88" s="1">
        <v>45838</v>
      </c>
      <c r="C88" t="s">
        <v>208</v>
      </c>
      <c r="D88" t="s">
        <v>256</v>
      </c>
      <c r="E88" t="s">
        <v>20</v>
      </c>
      <c r="F88" t="s">
        <v>21</v>
      </c>
      <c r="G88" t="s">
        <v>22</v>
      </c>
      <c r="H88" t="s">
        <v>23</v>
      </c>
      <c r="I88" t="s">
        <v>80</v>
      </c>
      <c r="J88">
        <v>3</v>
      </c>
      <c r="K88">
        <v>3500</v>
      </c>
      <c r="L88">
        <v>20</v>
      </c>
      <c r="M88">
        <v>8400</v>
      </c>
      <c r="N88">
        <v>7349.9999999999991</v>
      </c>
      <c r="O88">
        <v>1050.0000000000009</v>
      </c>
      <c r="P88" t="s">
        <v>58</v>
      </c>
      <c r="Q88" t="s">
        <v>76</v>
      </c>
      <c r="R88" t="str">
        <f>TEXT(SalesData[[#This Row],[Order Date]],"mmm")</f>
        <v>Jun</v>
      </c>
      <c r="S88" s="2" t="str">
        <f>"Q"&amp;ROUNDUP(MONTH(SalesData[[#This Row],[Order Date]])/3,0)</f>
        <v>Q2</v>
      </c>
      <c r="T88">
        <f>YEAR(SalesData[[#This Row],[Order Date]])</f>
        <v>2025</v>
      </c>
      <c r="U88">
        <f>SalesData[[#This Row],[Profit]]/SalesData[[#This Row],[Sales]]</f>
        <v>0.12500000000000011</v>
      </c>
    </row>
    <row r="89" spans="1:21" x14ac:dyDescent="0.25">
      <c r="A89" t="s">
        <v>257</v>
      </c>
      <c r="B89" s="1">
        <v>45669</v>
      </c>
      <c r="C89" t="s">
        <v>216</v>
      </c>
      <c r="D89" t="s">
        <v>258</v>
      </c>
      <c r="E89" t="s">
        <v>30</v>
      </c>
      <c r="F89" t="s">
        <v>31</v>
      </c>
      <c r="G89" t="s">
        <v>22</v>
      </c>
      <c r="H89" t="s">
        <v>65</v>
      </c>
      <c r="I89" t="s">
        <v>66</v>
      </c>
      <c r="J89">
        <v>10</v>
      </c>
      <c r="K89">
        <v>800</v>
      </c>
      <c r="L89">
        <v>5</v>
      </c>
      <c r="M89">
        <v>7600</v>
      </c>
      <c r="N89">
        <v>5600</v>
      </c>
      <c r="O89">
        <v>2000</v>
      </c>
      <c r="P89" t="s">
        <v>54</v>
      </c>
      <c r="Q89" t="s">
        <v>76</v>
      </c>
      <c r="R89" t="str">
        <f>TEXT(SalesData[[#This Row],[Order Date]],"mmm")</f>
        <v>Jan</v>
      </c>
      <c r="S89" s="2" t="str">
        <f>"Q"&amp;ROUNDUP(MONTH(SalesData[[#This Row],[Order Date]])/3,0)</f>
        <v>Q1</v>
      </c>
      <c r="T89">
        <f>YEAR(SalesData[[#This Row],[Order Date]])</f>
        <v>2025</v>
      </c>
      <c r="U89">
        <f>SalesData[[#This Row],[Profit]]/SalesData[[#This Row],[Sales]]</f>
        <v>0.26315789473684209</v>
      </c>
    </row>
    <row r="90" spans="1:21" x14ac:dyDescent="0.25">
      <c r="A90" t="s">
        <v>259</v>
      </c>
      <c r="B90" s="1">
        <v>45917</v>
      </c>
      <c r="C90" t="s">
        <v>195</v>
      </c>
      <c r="D90" t="s">
        <v>75</v>
      </c>
      <c r="E90" t="s">
        <v>30</v>
      </c>
      <c r="F90" t="s">
        <v>31</v>
      </c>
      <c r="G90" t="s">
        <v>22</v>
      </c>
      <c r="H90" t="s">
        <v>23</v>
      </c>
      <c r="I90" t="s">
        <v>66</v>
      </c>
      <c r="J90">
        <v>5</v>
      </c>
      <c r="K90">
        <v>800</v>
      </c>
      <c r="L90">
        <v>15</v>
      </c>
      <c r="M90">
        <v>3400</v>
      </c>
      <c r="N90">
        <v>2800</v>
      </c>
      <c r="O90">
        <v>600</v>
      </c>
      <c r="P90" t="s">
        <v>40</v>
      </c>
      <c r="Q90" t="s">
        <v>26</v>
      </c>
      <c r="R90" t="str">
        <f>TEXT(SalesData[[#This Row],[Order Date]],"mmm")</f>
        <v>Sep</v>
      </c>
      <c r="S90" s="2" t="str">
        <f>"Q"&amp;ROUNDUP(MONTH(SalesData[[#This Row],[Order Date]])/3,0)</f>
        <v>Q3</v>
      </c>
      <c r="T90">
        <f>YEAR(SalesData[[#This Row],[Order Date]])</f>
        <v>2025</v>
      </c>
      <c r="U90">
        <f>SalesData[[#This Row],[Profit]]/SalesData[[#This Row],[Sales]]</f>
        <v>0.17647058823529413</v>
      </c>
    </row>
    <row r="91" spans="1:21" x14ac:dyDescent="0.25">
      <c r="A91" t="s">
        <v>260</v>
      </c>
      <c r="B91" s="1">
        <v>45751</v>
      </c>
      <c r="C91" t="s">
        <v>261</v>
      </c>
      <c r="D91" t="s">
        <v>262</v>
      </c>
      <c r="E91" t="s">
        <v>50</v>
      </c>
      <c r="F91" t="s">
        <v>51</v>
      </c>
      <c r="G91" t="s">
        <v>52</v>
      </c>
      <c r="H91" t="s">
        <v>65</v>
      </c>
      <c r="I91" t="s">
        <v>72</v>
      </c>
      <c r="J91">
        <v>7</v>
      </c>
      <c r="K91">
        <v>3200</v>
      </c>
      <c r="L91">
        <v>5</v>
      </c>
      <c r="M91">
        <v>21280</v>
      </c>
      <c r="N91">
        <v>15680</v>
      </c>
      <c r="O91">
        <v>5600.0000000000018</v>
      </c>
      <c r="P91" t="s">
        <v>40</v>
      </c>
      <c r="Q91" t="s">
        <v>76</v>
      </c>
      <c r="R91" t="str">
        <f>TEXT(SalesData[[#This Row],[Order Date]],"mmm")</f>
        <v>Apr</v>
      </c>
      <c r="S91" s="2" t="str">
        <f>"Q"&amp;ROUNDUP(MONTH(SalesData[[#This Row],[Order Date]])/3,0)</f>
        <v>Q2</v>
      </c>
      <c r="T91">
        <f>YEAR(SalesData[[#This Row],[Order Date]])</f>
        <v>2025</v>
      </c>
      <c r="U91">
        <f>SalesData[[#This Row],[Profit]]/SalesData[[#This Row],[Sales]]</f>
        <v>0.2631578947368422</v>
      </c>
    </row>
    <row r="92" spans="1:21" x14ac:dyDescent="0.25">
      <c r="A92" t="s">
        <v>263</v>
      </c>
      <c r="B92" s="1">
        <v>45665</v>
      </c>
      <c r="C92" t="s">
        <v>144</v>
      </c>
      <c r="D92" t="s">
        <v>179</v>
      </c>
      <c r="E92" t="s">
        <v>30</v>
      </c>
      <c r="F92" t="s">
        <v>31</v>
      </c>
      <c r="G92" t="s">
        <v>22</v>
      </c>
      <c r="H92" t="s">
        <v>23</v>
      </c>
      <c r="I92" t="s">
        <v>39</v>
      </c>
      <c r="J92">
        <v>2</v>
      </c>
      <c r="K92">
        <v>800</v>
      </c>
      <c r="L92">
        <v>10</v>
      </c>
      <c r="M92">
        <v>1440</v>
      </c>
      <c r="N92">
        <v>1120</v>
      </c>
      <c r="O92">
        <v>320</v>
      </c>
      <c r="P92" t="s">
        <v>54</v>
      </c>
      <c r="Q92" t="s">
        <v>76</v>
      </c>
      <c r="R92" t="str">
        <f>TEXT(SalesData[[#This Row],[Order Date]],"mmm")</f>
        <v>Jan</v>
      </c>
      <c r="S92" s="2" t="str">
        <f>"Q"&amp;ROUNDUP(MONTH(SalesData[[#This Row],[Order Date]])/3,0)</f>
        <v>Q1</v>
      </c>
      <c r="T92">
        <f>YEAR(SalesData[[#This Row],[Order Date]])</f>
        <v>2025</v>
      </c>
      <c r="U92">
        <f>SalesData[[#This Row],[Profit]]/SalesData[[#This Row],[Sales]]</f>
        <v>0.22222222222222221</v>
      </c>
    </row>
    <row r="93" spans="1:21" x14ac:dyDescent="0.25">
      <c r="A93" t="s">
        <v>264</v>
      </c>
      <c r="B93" s="1">
        <v>45979</v>
      </c>
      <c r="C93" t="s">
        <v>265</v>
      </c>
      <c r="D93" t="s">
        <v>191</v>
      </c>
      <c r="E93" t="s">
        <v>20</v>
      </c>
      <c r="F93" t="s">
        <v>21</v>
      </c>
      <c r="G93" t="s">
        <v>22</v>
      </c>
      <c r="H93" t="s">
        <v>23</v>
      </c>
      <c r="I93" t="s">
        <v>53</v>
      </c>
      <c r="J93">
        <v>7</v>
      </c>
      <c r="K93">
        <v>3500</v>
      </c>
      <c r="L93">
        <v>15</v>
      </c>
      <c r="M93">
        <v>20825</v>
      </c>
      <c r="N93">
        <v>17150</v>
      </c>
      <c r="O93">
        <v>3675</v>
      </c>
      <c r="P93" t="s">
        <v>40</v>
      </c>
      <c r="Q93" t="s">
        <v>33</v>
      </c>
      <c r="R93" t="str">
        <f>TEXT(SalesData[[#This Row],[Order Date]],"mmm")</f>
        <v>Nov</v>
      </c>
      <c r="S93" s="2" t="str">
        <f>"Q"&amp;ROUNDUP(MONTH(SalesData[[#This Row],[Order Date]])/3,0)</f>
        <v>Q4</v>
      </c>
      <c r="T93">
        <f>YEAR(SalesData[[#This Row],[Order Date]])</f>
        <v>2025</v>
      </c>
      <c r="U93">
        <f>SalesData[[#This Row],[Profit]]/SalesData[[#This Row],[Sales]]</f>
        <v>0.17647058823529413</v>
      </c>
    </row>
    <row r="94" spans="1:21" x14ac:dyDescent="0.25">
      <c r="A94" t="s">
        <v>266</v>
      </c>
      <c r="B94" s="1">
        <v>45928</v>
      </c>
      <c r="C94" t="s">
        <v>182</v>
      </c>
      <c r="D94" t="s">
        <v>169</v>
      </c>
      <c r="E94" t="s">
        <v>93</v>
      </c>
      <c r="F94" t="s">
        <v>94</v>
      </c>
      <c r="G94" t="s">
        <v>64</v>
      </c>
      <c r="H94" t="s">
        <v>65</v>
      </c>
      <c r="I94" t="s">
        <v>80</v>
      </c>
      <c r="J94">
        <v>4</v>
      </c>
      <c r="K94">
        <v>4500</v>
      </c>
      <c r="L94">
        <v>15</v>
      </c>
      <c r="M94">
        <v>15300</v>
      </c>
      <c r="N94">
        <v>12600</v>
      </c>
      <c r="O94">
        <v>2700</v>
      </c>
      <c r="P94" t="s">
        <v>40</v>
      </c>
      <c r="Q94" t="s">
        <v>76</v>
      </c>
      <c r="R94" t="str">
        <f>TEXT(SalesData[[#This Row],[Order Date]],"mmm")</f>
        <v>Sep</v>
      </c>
      <c r="S94" s="2" t="str">
        <f>"Q"&amp;ROUNDUP(MONTH(SalesData[[#This Row],[Order Date]])/3,0)</f>
        <v>Q3</v>
      </c>
      <c r="T94">
        <f>YEAR(SalesData[[#This Row],[Order Date]])</f>
        <v>2025</v>
      </c>
      <c r="U94">
        <f>SalesData[[#This Row],[Profit]]/SalesData[[#This Row],[Sales]]</f>
        <v>0.17647058823529413</v>
      </c>
    </row>
    <row r="95" spans="1:21" x14ac:dyDescent="0.25">
      <c r="A95" t="s">
        <v>267</v>
      </c>
      <c r="B95" s="1">
        <v>45935</v>
      </c>
      <c r="C95" t="s">
        <v>268</v>
      </c>
      <c r="D95" t="s">
        <v>262</v>
      </c>
      <c r="E95" t="s">
        <v>30</v>
      </c>
      <c r="F95" t="s">
        <v>31</v>
      </c>
      <c r="G95" t="s">
        <v>22</v>
      </c>
      <c r="H95" t="s">
        <v>23</v>
      </c>
      <c r="I95" t="s">
        <v>39</v>
      </c>
      <c r="J95">
        <v>10</v>
      </c>
      <c r="K95">
        <v>800</v>
      </c>
      <c r="L95">
        <v>20</v>
      </c>
      <c r="M95">
        <v>6400</v>
      </c>
      <c r="N95">
        <v>5600</v>
      </c>
      <c r="O95">
        <v>800</v>
      </c>
      <c r="P95" t="s">
        <v>54</v>
      </c>
      <c r="Q95" t="s">
        <v>26</v>
      </c>
      <c r="R95" t="str">
        <f>TEXT(SalesData[[#This Row],[Order Date]],"mmm")</f>
        <v>Oct</v>
      </c>
      <c r="S95" s="2" t="str">
        <f>"Q"&amp;ROUNDUP(MONTH(SalesData[[#This Row],[Order Date]])/3,0)</f>
        <v>Q4</v>
      </c>
      <c r="T95">
        <f>YEAR(SalesData[[#This Row],[Order Date]])</f>
        <v>2025</v>
      </c>
      <c r="U95">
        <f>SalesData[[#This Row],[Profit]]/SalesData[[#This Row],[Sales]]</f>
        <v>0.125</v>
      </c>
    </row>
    <row r="96" spans="1:21" x14ac:dyDescent="0.25">
      <c r="A96" t="s">
        <v>269</v>
      </c>
      <c r="B96" s="1">
        <v>45954</v>
      </c>
      <c r="C96" t="s">
        <v>270</v>
      </c>
      <c r="D96" t="s">
        <v>36</v>
      </c>
      <c r="E96" t="s">
        <v>70</v>
      </c>
      <c r="F96" t="s">
        <v>71</v>
      </c>
      <c r="G96" t="s">
        <v>22</v>
      </c>
      <c r="H96" t="s">
        <v>65</v>
      </c>
      <c r="I96" t="s">
        <v>39</v>
      </c>
      <c r="J96">
        <v>5</v>
      </c>
      <c r="K96">
        <v>1500</v>
      </c>
      <c r="L96">
        <v>15</v>
      </c>
      <c r="M96">
        <v>6375</v>
      </c>
      <c r="N96">
        <v>5250</v>
      </c>
      <c r="O96">
        <v>1125</v>
      </c>
      <c r="P96" t="s">
        <v>25</v>
      </c>
      <c r="Q96" t="s">
        <v>76</v>
      </c>
      <c r="R96" t="str">
        <f>TEXT(SalesData[[#This Row],[Order Date]],"mmm")</f>
        <v>Oct</v>
      </c>
      <c r="S96" s="2" t="str">
        <f>"Q"&amp;ROUNDUP(MONTH(SalesData[[#This Row],[Order Date]])/3,0)</f>
        <v>Q4</v>
      </c>
      <c r="T96">
        <f>YEAR(SalesData[[#This Row],[Order Date]])</f>
        <v>2025</v>
      </c>
      <c r="U96">
        <f>SalesData[[#This Row],[Profit]]/SalesData[[#This Row],[Sales]]</f>
        <v>0.17647058823529413</v>
      </c>
    </row>
    <row r="97" spans="1:21" x14ac:dyDescent="0.25">
      <c r="A97" t="s">
        <v>271</v>
      </c>
      <c r="B97" s="1">
        <v>45722</v>
      </c>
      <c r="C97" t="s">
        <v>35</v>
      </c>
      <c r="D97" t="s">
        <v>191</v>
      </c>
      <c r="E97" t="s">
        <v>50</v>
      </c>
      <c r="F97" t="s">
        <v>51</v>
      </c>
      <c r="G97" t="s">
        <v>52</v>
      </c>
      <c r="H97" t="s">
        <v>65</v>
      </c>
      <c r="I97" t="s">
        <v>80</v>
      </c>
      <c r="J97">
        <v>6</v>
      </c>
      <c r="K97">
        <v>3200</v>
      </c>
      <c r="L97">
        <v>5</v>
      </c>
      <c r="M97">
        <v>18240</v>
      </c>
      <c r="N97">
        <v>13440</v>
      </c>
      <c r="O97">
        <v>4800</v>
      </c>
      <c r="P97" t="s">
        <v>25</v>
      </c>
      <c r="Q97" t="s">
        <v>76</v>
      </c>
      <c r="R97" t="str">
        <f>TEXT(SalesData[[#This Row],[Order Date]],"mmm")</f>
        <v>Mar</v>
      </c>
      <c r="S97" s="2" t="str">
        <f>"Q"&amp;ROUNDUP(MONTH(SalesData[[#This Row],[Order Date]])/3,0)</f>
        <v>Q1</v>
      </c>
      <c r="T97">
        <f>YEAR(SalesData[[#This Row],[Order Date]])</f>
        <v>2025</v>
      </c>
      <c r="U97">
        <f>SalesData[[#This Row],[Profit]]/SalesData[[#This Row],[Sales]]</f>
        <v>0.26315789473684209</v>
      </c>
    </row>
    <row r="98" spans="1:21" x14ac:dyDescent="0.25">
      <c r="A98" t="s">
        <v>272</v>
      </c>
      <c r="B98" s="1">
        <v>45891</v>
      </c>
      <c r="C98" t="s">
        <v>273</v>
      </c>
      <c r="D98" t="s">
        <v>108</v>
      </c>
      <c r="E98" t="s">
        <v>70</v>
      </c>
      <c r="F98" t="s">
        <v>71</v>
      </c>
      <c r="G98" t="s">
        <v>22</v>
      </c>
      <c r="H98" t="s">
        <v>46</v>
      </c>
      <c r="I98" t="s">
        <v>72</v>
      </c>
      <c r="J98">
        <v>1</v>
      </c>
      <c r="K98">
        <v>1500</v>
      </c>
      <c r="L98">
        <v>0</v>
      </c>
      <c r="M98">
        <v>1500</v>
      </c>
      <c r="N98">
        <v>1050</v>
      </c>
      <c r="O98">
        <v>450</v>
      </c>
      <c r="P98" t="s">
        <v>25</v>
      </c>
      <c r="Q98" t="s">
        <v>33</v>
      </c>
      <c r="R98" t="str">
        <f>TEXT(SalesData[[#This Row],[Order Date]],"mmm")</f>
        <v>Aug</v>
      </c>
      <c r="S98" s="2" t="str">
        <f>"Q"&amp;ROUNDUP(MONTH(SalesData[[#This Row],[Order Date]])/3,0)</f>
        <v>Q3</v>
      </c>
      <c r="T98">
        <f>YEAR(SalesData[[#This Row],[Order Date]])</f>
        <v>2025</v>
      </c>
      <c r="U98">
        <f>SalesData[[#This Row],[Profit]]/SalesData[[#This Row],[Sales]]</f>
        <v>0.3</v>
      </c>
    </row>
    <row r="99" spans="1:21" x14ac:dyDescent="0.25">
      <c r="A99" t="s">
        <v>274</v>
      </c>
      <c r="B99" s="1">
        <v>45993</v>
      </c>
      <c r="C99" t="s">
        <v>214</v>
      </c>
      <c r="D99" t="s">
        <v>275</v>
      </c>
      <c r="E99" t="s">
        <v>30</v>
      </c>
      <c r="F99" t="s">
        <v>31</v>
      </c>
      <c r="G99" t="s">
        <v>22</v>
      </c>
      <c r="H99" t="s">
        <v>23</v>
      </c>
      <c r="I99" t="s">
        <v>53</v>
      </c>
      <c r="J99">
        <v>2</v>
      </c>
      <c r="K99">
        <v>800</v>
      </c>
      <c r="L99">
        <v>10</v>
      </c>
      <c r="M99">
        <v>1440</v>
      </c>
      <c r="N99">
        <v>1120</v>
      </c>
      <c r="O99">
        <v>320</v>
      </c>
      <c r="P99" t="s">
        <v>54</v>
      </c>
      <c r="Q99" t="s">
        <v>33</v>
      </c>
      <c r="R99" t="str">
        <f>TEXT(SalesData[[#This Row],[Order Date]],"mmm")</f>
        <v>Dec</v>
      </c>
      <c r="S99" s="2" t="str">
        <f>"Q"&amp;ROUNDUP(MONTH(SalesData[[#This Row],[Order Date]])/3,0)</f>
        <v>Q4</v>
      </c>
      <c r="T99">
        <f>YEAR(SalesData[[#This Row],[Order Date]])</f>
        <v>2025</v>
      </c>
      <c r="U99">
        <f>SalesData[[#This Row],[Profit]]/SalesData[[#This Row],[Sales]]</f>
        <v>0.22222222222222221</v>
      </c>
    </row>
    <row r="100" spans="1:21" x14ac:dyDescent="0.25">
      <c r="A100" t="s">
        <v>276</v>
      </c>
      <c r="B100" s="1">
        <v>45798</v>
      </c>
      <c r="C100" t="s">
        <v>277</v>
      </c>
      <c r="D100" t="s">
        <v>278</v>
      </c>
      <c r="E100" t="s">
        <v>70</v>
      </c>
      <c r="F100" t="s">
        <v>71</v>
      </c>
      <c r="G100" t="s">
        <v>22</v>
      </c>
      <c r="H100" t="s">
        <v>32</v>
      </c>
      <c r="I100" t="s">
        <v>24</v>
      </c>
      <c r="J100">
        <v>4</v>
      </c>
      <c r="K100">
        <v>1500</v>
      </c>
      <c r="L100">
        <v>0</v>
      </c>
      <c r="M100">
        <v>6000</v>
      </c>
      <c r="N100">
        <v>4200</v>
      </c>
      <c r="O100">
        <v>1800</v>
      </c>
      <c r="P100" t="s">
        <v>25</v>
      </c>
      <c r="Q100" t="s">
        <v>76</v>
      </c>
      <c r="R100" t="str">
        <f>TEXT(SalesData[[#This Row],[Order Date]],"mmm")</f>
        <v>May</v>
      </c>
      <c r="S100" s="2" t="str">
        <f>"Q"&amp;ROUNDUP(MONTH(SalesData[[#This Row],[Order Date]])/3,0)</f>
        <v>Q2</v>
      </c>
      <c r="T100">
        <f>YEAR(SalesData[[#This Row],[Order Date]])</f>
        <v>2025</v>
      </c>
      <c r="U100">
        <f>SalesData[[#This Row],[Profit]]/SalesData[[#This Row],[Sales]]</f>
        <v>0.3</v>
      </c>
    </row>
    <row r="101" spans="1:21" x14ac:dyDescent="0.25">
      <c r="A101" t="s">
        <v>279</v>
      </c>
      <c r="B101" s="1">
        <v>45704</v>
      </c>
      <c r="C101" t="s">
        <v>280</v>
      </c>
      <c r="D101" t="s">
        <v>281</v>
      </c>
      <c r="E101" t="s">
        <v>37</v>
      </c>
      <c r="F101" t="s">
        <v>38</v>
      </c>
      <c r="G101" t="s">
        <v>22</v>
      </c>
      <c r="H101" t="s">
        <v>46</v>
      </c>
      <c r="I101" t="s">
        <v>66</v>
      </c>
      <c r="J101">
        <v>10</v>
      </c>
      <c r="K101">
        <v>55000</v>
      </c>
      <c r="L101">
        <v>20</v>
      </c>
      <c r="M101">
        <v>440000</v>
      </c>
      <c r="N101">
        <v>385000</v>
      </c>
      <c r="O101">
        <v>55000</v>
      </c>
      <c r="P101" t="s">
        <v>58</v>
      </c>
      <c r="Q101" t="s">
        <v>76</v>
      </c>
      <c r="R101" t="str">
        <f>TEXT(SalesData[[#This Row],[Order Date]],"mmm")</f>
        <v>Feb</v>
      </c>
      <c r="S101" s="2" t="str">
        <f>"Q"&amp;ROUNDUP(MONTH(SalesData[[#This Row],[Order Date]])/3,0)</f>
        <v>Q1</v>
      </c>
      <c r="T101">
        <f>YEAR(SalesData[[#This Row],[Order Date]])</f>
        <v>2025</v>
      </c>
      <c r="U101">
        <f>SalesData[[#This Row],[Profit]]/SalesData[[#This Row],[Sales]]</f>
        <v>0.125</v>
      </c>
    </row>
    <row r="102" spans="1:21" x14ac:dyDescent="0.25">
      <c r="A102" t="s">
        <v>282</v>
      </c>
      <c r="B102" s="1">
        <v>45840</v>
      </c>
      <c r="C102" t="s">
        <v>283</v>
      </c>
      <c r="D102" t="s">
        <v>209</v>
      </c>
      <c r="E102" t="s">
        <v>37</v>
      </c>
      <c r="F102" t="s">
        <v>38</v>
      </c>
      <c r="G102" t="s">
        <v>22</v>
      </c>
      <c r="H102" t="s">
        <v>65</v>
      </c>
      <c r="I102" t="s">
        <v>80</v>
      </c>
      <c r="J102">
        <v>7</v>
      </c>
      <c r="K102">
        <v>55000</v>
      </c>
      <c r="L102">
        <v>15</v>
      </c>
      <c r="M102">
        <v>327250</v>
      </c>
      <c r="N102">
        <v>269500</v>
      </c>
      <c r="O102">
        <v>57750</v>
      </c>
      <c r="P102" t="s">
        <v>58</v>
      </c>
      <c r="Q102" t="s">
        <v>26</v>
      </c>
      <c r="R102" t="str">
        <f>TEXT(SalesData[[#This Row],[Order Date]],"mmm")</f>
        <v>Jul</v>
      </c>
      <c r="S102" s="2" t="str">
        <f>"Q"&amp;ROUNDUP(MONTH(SalesData[[#This Row],[Order Date]])/3,0)</f>
        <v>Q3</v>
      </c>
      <c r="T102">
        <f>YEAR(SalesData[[#This Row],[Order Date]])</f>
        <v>2025</v>
      </c>
      <c r="U102">
        <f>SalesData[[#This Row],[Profit]]/SalesData[[#This Row],[Sales]]</f>
        <v>0.17647058823529413</v>
      </c>
    </row>
    <row r="103" spans="1:21" x14ac:dyDescent="0.25">
      <c r="A103" t="s">
        <v>284</v>
      </c>
      <c r="B103" s="1">
        <v>45705</v>
      </c>
      <c r="C103" t="s">
        <v>123</v>
      </c>
      <c r="D103" t="s">
        <v>285</v>
      </c>
      <c r="E103" t="s">
        <v>20</v>
      </c>
      <c r="F103" t="s">
        <v>21</v>
      </c>
      <c r="G103" t="s">
        <v>22</v>
      </c>
      <c r="H103" t="s">
        <v>46</v>
      </c>
      <c r="I103" t="s">
        <v>66</v>
      </c>
      <c r="J103">
        <v>6</v>
      </c>
      <c r="K103">
        <v>3500</v>
      </c>
      <c r="L103">
        <v>10</v>
      </c>
      <c r="M103">
        <v>18900</v>
      </c>
      <c r="N103">
        <v>14700</v>
      </c>
      <c r="O103">
        <v>4200.0000000000018</v>
      </c>
      <c r="P103" t="s">
        <v>40</v>
      </c>
      <c r="Q103" t="s">
        <v>33</v>
      </c>
      <c r="R103" t="str">
        <f>TEXT(SalesData[[#This Row],[Order Date]],"mmm")</f>
        <v>Feb</v>
      </c>
      <c r="S103" s="2" t="str">
        <f>"Q"&amp;ROUNDUP(MONTH(SalesData[[#This Row],[Order Date]])/3,0)</f>
        <v>Q1</v>
      </c>
      <c r="T103">
        <f>YEAR(SalesData[[#This Row],[Order Date]])</f>
        <v>2025</v>
      </c>
      <c r="U103">
        <f>SalesData[[#This Row],[Profit]]/SalesData[[#This Row],[Sales]]</f>
        <v>0.22222222222222232</v>
      </c>
    </row>
    <row r="104" spans="1:21" x14ac:dyDescent="0.25">
      <c r="A104" t="s">
        <v>286</v>
      </c>
      <c r="B104" s="1">
        <v>45659</v>
      </c>
      <c r="C104" t="s">
        <v>283</v>
      </c>
      <c r="D104" t="s">
        <v>145</v>
      </c>
      <c r="E104" t="s">
        <v>44</v>
      </c>
      <c r="F104" t="s">
        <v>45</v>
      </c>
      <c r="G104" t="s">
        <v>22</v>
      </c>
      <c r="H104" t="s">
        <v>32</v>
      </c>
      <c r="I104" t="s">
        <v>80</v>
      </c>
      <c r="J104">
        <v>9</v>
      </c>
      <c r="K104">
        <v>9500</v>
      </c>
      <c r="L104">
        <v>10</v>
      </c>
      <c r="M104">
        <v>76950</v>
      </c>
      <c r="N104">
        <v>59849.999999999993</v>
      </c>
      <c r="O104">
        <v>17100.000000000011</v>
      </c>
      <c r="P104" t="s">
        <v>58</v>
      </c>
      <c r="Q104" t="s">
        <v>26</v>
      </c>
      <c r="R104" t="str">
        <f>TEXT(SalesData[[#This Row],[Order Date]],"mmm")</f>
        <v>Jan</v>
      </c>
      <c r="S104" s="2" t="str">
        <f>"Q"&amp;ROUNDUP(MONTH(SalesData[[#This Row],[Order Date]])/3,0)</f>
        <v>Q1</v>
      </c>
      <c r="T104">
        <f>YEAR(SalesData[[#This Row],[Order Date]])</f>
        <v>2025</v>
      </c>
      <c r="U104">
        <f>SalesData[[#This Row],[Profit]]/SalesData[[#This Row],[Sales]]</f>
        <v>0.22222222222222238</v>
      </c>
    </row>
    <row r="105" spans="1:21" x14ac:dyDescent="0.25">
      <c r="A105" t="s">
        <v>287</v>
      </c>
      <c r="B105" s="1">
        <v>45760</v>
      </c>
      <c r="C105" t="s">
        <v>105</v>
      </c>
      <c r="D105" t="s">
        <v>110</v>
      </c>
      <c r="E105" t="s">
        <v>70</v>
      </c>
      <c r="F105" t="s">
        <v>71</v>
      </c>
      <c r="G105" t="s">
        <v>22</v>
      </c>
      <c r="H105" t="s">
        <v>23</v>
      </c>
      <c r="I105" t="s">
        <v>66</v>
      </c>
      <c r="J105">
        <v>5</v>
      </c>
      <c r="K105">
        <v>1500</v>
      </c>
      <c r="L105">
        <v>10</v>
      </c>
      <c r="M105">
        <v>6750</v>
      </c>
      <c r="N105">
        <v>5250</v>
      </c>
      <c r="O105">
        <v>1500</v>
      </c>
      <c r="P105" t="s">
        <v>54</v>
      </c>
      <c r="Q105" t="s">
        <v>76</v>
      </c>
      <c r="R105" t="str">
        <f>TEXT(SalesData[[#This Row],[Order Date]],"mmm")</f>
        <v>Apr</v>
      </c>
      <c r="S105" s="2" t="str">
        <f>"Q"&amp;ROUNDUP(MONTH(SalesData[[#This Row],[Order Date]])/3,0)</f>
        <v>Q2</v>
      </c>
      <c r="T105">
        <f>YEAR(SalesData[[#This Row],[Order Date]])</f>
        <v>2025</v>
      </c>
      <c r="U105">
        <f>SalesData[[#This Row],[Profit]]/SalesData[[#This Row],[Sales]]</f>
        <v>0.22222222222222221</v>
      </c>
    </row>
    <row r="106" spans="1:21" x14ac:dyDescent="0.25">
      <c r="A106" t="s">
        <v>288</v>
      </c>
      <c r="B106" s="1">
        <v>45694</v>
      </c>
      <c r="C106" t="s">
        <v>234</v>
      </c>
      <c r="D106" t="s">
        <v>171</v>
      </c>
      <c r="E106" t="s">
        <v>93</v>
      </c>
      <c r="F106" t="s">
        <v>94</v>
      </c>
      <c r="G106" t="s">
        <v>64</v>
      </c>
      <c r="H106" t="s">
        <v>23</v>
      </c>
      <c r="I106" t="s">
        <v>80</v>
      </c>
      <c r="J106">
        <v>7</v>
      </c>
      <c r="K106">
        <v>4500</v>
      </c>
      <c r="L106">
        <v>15</v>
      </c>
      <c r="M106">
        <v>26775</v>
      </c>
      <c r="N106">
        <v>22050</v>
      </c>
      <c r="O106">
        <v>4725</v>
      </c>
      <c r="P106" t="s">
        <v>25</v>
      </c>
      <c r="Q106" t="s">
        <v>76</v>
      </c>
      <c r="R106" t="str">
        <f>TEXT(SalesData[[#This Row],[Order Date]],"mmm")</f>
        <v>Feb</v>
      </c>
      <c r="S106" s="2" t="str">
        <f>"Q"&amp;ROUNDUP(MONTH(SalesData[[#This Row],[Order Date]])/3,0)</f>
        <v>Q1</v>
      </c>
      <c r="T106">
        <f>YEAR(SalesData[[#This Row],[Order Date]])</f>
        <v>2025</v>
      </c>
      <c r="U106">
        <f>SalesData[[#This Row],[Profit]]/SalesData[[#This Row],[Sales]]</f>
        <v>0.17647058823529413</v>
      </c>
    </row>
    <row r="107" spans="1:21" x14ac:dyDescent="0.25">
      <c r="A107" t="s">
        <v>289</v>
      </c>
      <c r="B107" s="1">
        <v>45862</v>
      </c>
      <c r="C107" t="s">
        <v>88</v>
      </c>
      <c r="D107" t="s">
        <v>183</v>
      </c>
      <c r="E107" t="s">
        <v>70</v>
      </c>
      <c r="F107" t="s">
        <v>71</v>
      </c>
      <c r="G107" t="s">
        <v>22</v>
      </c>
      <c r="H107" t="s">
        <v>23</v>
      </c>
      <c r="I107" t="s">
        <v>80</v>
      </c>
      <c r="J107">
        <v>5</v>
      </c>
      <c r="K107">
        <v>1500</v>
      </c>
      <c r="L107">
        <v>15</v>
      </c>
      <c r="M107">
        <v>6375</v>
      </c>
      <c r="N107">
        <v>5250</v>
      </c>
      <c r="O107">
        <v>1125</v>
      </c>
      <c r="P107" t="s">
        <v>58</v>
      </c>
      <c r="Q107" t="s">
        <v>26</v>
      </c>
      <c r="R107" t="str">
        <f>TEXT(SalesData[[#This Row],[Order Date]],"mmm")</f>
        <v>Jul</v>
      </c>
      <c r="S107" s="2" t="str">
        <f>"Q"&amp;ROUNDUP(MONTH(SalesData[[#This Row],[Order Date]])/3,0)</f>
        <v>Q3</v>
      </c>
      <c r="T107">
        <f>YEAR(SalesData[[#This Row],[Order Date]])</f>
        <v>2025</v>
      </c>
      <c r="U107">
        <f>SalesData[[#This Row],[Profit]]/SalesData[[#This Row],[Sales]]</f>
        <v>0.17647058823529413</v>
      </c>
    </row>
    <row r="108" spans="1:21" x14ac:dyDescent="0.25">
      <c r="A108" t="s">
        <v>290</v>
      </c>
      <c r="B108" s="1">
        <v>45866</v>
      </c>
      <c r="C108" t="s">
        <v>291</v>
      </c>
      <c r="D108" t="s">
        <v>278</v>
      </c>
      <c r="E108" t="s">
        <v>44</v>
      </c>
      <c r="F108" t="s">
        <v>45</v>
      </c>
      <c r="G108" t="s">
        <v>22</v>
      </c>
      <c r="H108" t="s">
        <v>46</v>
      </c>
      <c r="I108" t="s">
        <v>24</v>
      </c>
      <c r="J108">
        <v>6</v>
      </c>
      <c r="K108">
        <v>9500</v>
      </c>
      <c r="L108">
        <v>5</v>
      </c>
      <c r="M108">
        <v>54150</v>
      </c>
      <c r="N108">
        <v>39900</v>
      </c>
      <c r="O108">
        <v>14250</v>
      </c>
      <c r="P108" t="s">
        <v>25</v>
      </c>
      <c r="Q108" t="s">
        <v>76</v>
      </c>
      <c r="R108" t="str">
        <f>TEXT(SalesData[[#This Row],[Order Date]],"mmm")</f>
        <v>Jul</v>
      </c>
      <c r="S108" s="2" t="str">
        <f>"Q"&amp;ROUNDUP(MONTH(SalesData[[#This Row],[Order Date]])/3,0)</f>
        <v>Q3</v>
      </c>
      <c r="T108">
        <f>YEAR(SalesData[[#This Row],[Order Date]])</f>
        <v>2025</v>
      </c>
      <c r="U108">
        <f>SalesData[[#This Row],[Profit]]/SalesData[[#This Row],[Sales]]</f>
        <v>0.26315789473684209</v>
      </c>
    </row>
    <row r="109" spans="1:21" x14ac:dyDescent="0.25">
      <c r="A109" t="s">
        <v>292</v>
      </c>
      <c r="B109" s="1">
        <v>45828</v>
      </c>
      <c r="C109" t="s">
        <v>208</v>
      </c>
      <c r="D109" t="s">
        <v>293</v>
      </c>
      <c r="E109" t="s">
        <v>20</v>
      </c>
      <c r="F109" t="s">
        <v>21</v>
      </c>
      <c r="G109" t="s">
        <v>22</v>
      </c>
      <c r="H109" t="s">
        <v>46</v>
      </c>
      <c r="I109" t="s">
        <v>66</v>
      </c>
      <c r="J109">
        <v>1</v>
      </c>
      <c r="K109">
        <v>3500</v>
      </c>
      <c r="L109">
        <v>10</v>
      </c>
      <c r="M109">
        <v>3150</v>
      </c>
      <c r="N109">
        <v>2450</v>
      </c>
      <c r="O109">
        <v>700</v>
      </c>
      <c r="P109" t="s">
        <v>40</v>
      </c>
      <c r="Q109" t="s">
        <v>26</v>
      </c>
      <c r="R109" t="str">
        <f>TEXT(SalesData[[#This Row],[Order Date]],"mmm")</f>
        <v>Jun</v>
      </c>
      <c r="S109" s="2" t="str">
        <f>"Q"&amp;ROUNDUP(MONTH(SalesData[[#This Row],[Order Date]])/3,0)</f>
        <v>Q2</v>
      </c>
      <c r="T109">
        <f>YEAR(SalesData[[#This Row],[Order Date]])</f>
        <v>2025</v>
      </c>
      <c r="U109">
        <f>SalesData[[#This Row],[Profit]]/SalesData[[#This Row],[Sales]]</f>
        <v>0.22222222222222221</v>
      </c>
    </row>
    <row r="110" spans="1:21" x14ac:dyDescent="0.25">
      <c r="A110" t="s">
        <v>294</v>
      </c>
      <c r="B110" s="1">
        <v>45819</v>
      </c>
      <c r="C110" t="s">
        <v>91</v>
      </c>
      <c r="D110" t="s">
        <v>295</v>
      </c>
      <c r="E110" t="s">
        <v>20</v>
      </c>
      <c r="F110" t="s">
        <v>21</v>
      </c>
      <c r="G110" t="s">
        <v>22</v>
      </c>
      <c r="H110" t="s">
        <v>46</v>
      </c>
      <c r="I110" t="s">
        <v>39</v>
      </c>
      <c r="J110">
        <v>1</v>
      </c>
      <c r="K110">
        <v>3500</v>
      </c>
      <c r="L110">
        <v>15</v>
      </c>
      <c r="M110">
        <v>2975</v>
      </c>
      <c r="N110">
        <v>2450</v>
      </c>
      <c r="O110">
        <v>525</v>
      </c>
      <c r="P110" t="s">
        <v>54</v>
      </c>
      <c r="Q110" t="s">
        <v>26</v>
      </c>
      <c r="R110" t="str">
        <f>TEXT(SalesData[[#This Row],[Order Date]],"mmm")</f>
        <v>Jun</v>
      </c>
      <c r="S110" s="2" t="str">
        <f>"Q"&amp;ROUNDUP(MONTH(SalesData[[#This Row],[Order Date]])/3,0)</f>
        <v>Q2</v>
      </c>
      <c r="T110">
        <f>YEAR(SalesData[[#This Row],[Order Date]])</f>
        <v>2025</v>
      </c>
      <c r="U110">
        <f>SalesData[[#This Row],[Profit]]/SalesData[[#This Row],[Sales]]</f>
        <v>0.17647058823529413</v>
      </c>
    </row>
    <row r="111" spans="1:21" x14ac:dyDescent="0.25">
      <c r="A111" t="s">
        <v>296</v>
      </c>
      <c r="B111" s="1">
        <v>45829</v>
      </c>
      <c r="C111" t="s">
        <v>91</v>
      </c>
      <c r="D111" t="s">
        <v>253</v>
      </c>
      <c r="E111" t="s">
        <v>93</v>
      </c>
      <c r="F111" t="s">
        <v>94</v>
      </c>
      <c r="G111" t="s">
        <v>64</v>
      </c>
      <c r="H111" t="s">
        <v>23</v>
      </c>
      <c r="I111" t="s">
        <v>53</v>
      </c>
      <c r="J111">
        <v>2</v>
      </c>
      <c r="K111">
        <v>4500</v>
      </c>
      <c r="L111">
        <v>20</v>
      </c>
      <c r="M111">
        <v>7200</v>
      </c>
      <c r="N111">
        <v>6300</v>
      </c>
      <c r="O111">
        <v>900</v>
      </c>
      <c r="P111" t="s">
        <v>54</v>
      </c>
      <c r="Q111" t="s">
        <v>26</v>
      </c>
      <c r="R111" t="str">
        <f>TEXT(SalesData[[#This Row],[Order Date]],"mmm")</f>
        <v>Jun</v>
      </c>
      <c r="S111" s="2" t="str">
        <f>"Q"&amp;ROUNDUP(MONTH(SalesData[[#This Row],[Order Date]])/3,0)</f>
        <v>Q2</v>
      </c>
      <c r="T111">
        <f>YEAR(SalesData[[#This Row],[Order Date]])</f>
        <v>2025</v>
      </c>
      <c r="U111">
        <f>SalesData[[#This Row],[Profit]]/SalesData[[#This Row],[Sales]]</f>
        <v>0.125</v>
      </c>
    </row>
    <row r="112" spans="1:21" x14ac:dyDescent="0.25">
      <c r="A112" t="s">
        <v>297</v>
      </c>
      <c r="B112" s="1">
        <v>45820</v>
      </c>
      <c r="C112" t="s">
        <v>123</v>
      </c>
      <c r="D112" t="s">
        <v>69</v>
      </c>
      <c r="E112" t="s">
        <v>62</v>
      </c>
      <c r="F112" t="s">
        <v>63</v>
      </c>
      <c r="G112" t="s">
        <v>64</v>
      </c>
      <c r="H112" t="s">
        <v>65</v>
      </c>
      <c r="I112" t="s">
        <v>53</v>
      </c>
      <c r="J112">
        <v>6</v>
      </c>
      <c r="K112">
        <v>8500</v>
      </c>
      <c r="L112">
        <v>10</v>
      </c>
      <c r="M112">
        <v>45900</v>
      </c>
      <c r="N112">
        <v>35700</v>
      </c>
      <c r="O112">
        <v>10200</v>
      </c>
      <c r="P112" t="s">
        <v>25</v>
      </c>
      <c r="Q112" t="s">
        <v>76</v>
      </c>
      <c r="R112" t="str">
        <f>TEXT(SalesData[[#This Row],[Order Date]],"mmm")</f>
        <v>Jun</v>
      </c>
      <c r="S112" s="2" t="str">
        <f>"Q"&amp;ROUNDUP(MONTH(SalesData[[#This Row],[Order Date]])/3,0)</f>
        <v>Q2</v>
      </c>
      <c r="T112">
        <f>YEAR(SalesData[[#This Row],[Order Date]])</f>
        <v>2025</v>
      </c>
      <c r="U112">
        <f>SalesData[[#This Row],[Profit]]/SalesData[[#This Row],[Sales]]</f>
        <v>0.22222222222222221</v>
      </c>
    </row>
    <row r="113" spans="1:21" x14ac:dyDescent="0.25">
      <c r="A113" t="s">
        <v>298</v>
      </c>
      <c r="B113" s="1">
        <v>45975</v>
      </c>
      <c r="C113" t="s">
        <v>229</v>
      </c>
      <c r="D113" t="s">
        <v>201</v>
      </c>
      <c r="E113" t="s">
        <v>62</v>
      </c>
      <c r="F113" t="s">
        <v>63</v>
      </c>
      <c r="G113" t="s">
        <v>64</v>
      </c>
      <c r="H113" t="s">
        <v>23</v>
      </c>
      <c r="I113" t="s">
        <v>80</v>
      </c>
      <c r="J113">
        <v>9</v>
      </c>
      <c r="K113">
        <v>8500</v>
      </c>
      <c r="L113">
        <v>5</v>
      </c>
      <c r="M113">
        <v>72675</v>
      </c>
      <c r="N113">
        <v>53550</v>
      </c>
      <c r="O113">
        <v>19125</v>
      </c>
      <c r="P113" t="s">
        <v>54</v>
      </c>
      <c r="Q113" t="s">
        <v>33</v>
      </c>
      <c r="R113" t="str">
        <f>TEXT(SalesData[[#This Row],[Order Date]],"mmm")</f>
        <v>Nov</v>
      </c>
      <c r="S113" s="2" t="str">
        <f>"Q"&amp;ROUNDUP(MONTH(SalesData[[#This Row],[Order Date]])/3,0)</f>
        <v>Q4</v>
      </c>
      <c r="T113">
        <f>YEAR(SalesData[[#This Row],[Order Date]])</f>
        <v>2025</v>
      </c>
      <c r="U113">
        <f>SalesData[[#This Row],[Profit]]/SalesData[[#This Row],[Sales]]</f>
        <v>0.26315789473684209</v>
      </c>
    </row>
    <row r="114" spans="1:21" x14ac:dyDescent="0.25">
      <c r="A114" t="s">
        <v>299</v>
      </c>
      <c r="B114" s="1">
        <v>45981</v>
      </c>
      <c r="C114" t="s">
        <v>68</v>
      </c>
      <c r="D114" t="s">
        <v>230</v>
      </c>
      <c r="E114" t="s">
        <v>62</v>
      </c>
      <c r="F114" t="s">
        <v>63</v>
      </c>
      <c r="G114" t="s">
        <v>64</v>
      </c>
      <c r="H114" t="s">
        <v>23</v>
      </c>
      <c r="I114" t="s">
        <v>24</v>
      </c>
      <c r="J114">
        <v>6</v>
      </c>
      <c r="K114">
        <v>8500</v>
      </c>
      <c r="L114">
        <v>20</v>
      </c>
      <c r="M114">
        <v>40800</v>
      </c>
      <c r="N114">
        <v>35700</v>
      </c>
      <c r="O114">
        <v>5100</v>
      </c>
      <c r="P114" t="s">
        <v>54</v>
      </c>
      <c r="Q114" t="s">
        <v>76</v>
      </c>
      <c r="R114" t="str">
        <f>TEXT(SalesData[[#This Row],[Order Date]],"mmm")</f>
        <v>Nov</v>
      </c>
      <c r="S114" s="2" t="str">
        <f>"Q"&amp;ROUNDUP(MONTH(SalesData[[#This Row],[Order Date]])/3,0)</f>
        <v>Q4</v>
      </c>
      <c r="T114">
        <f>YEAR(SalesData[[#This Row],[Order Date]])</f>
        <v>2025</v>
      </c>
      <c r="U114">
        <f>SalesData[[#This Row],[Profit]]/SalesData[[#This Row],[Sales]]</f>
        <v>0.125</v>
      </c>
    </row>
    <row r="115" spans="1:21" x14ac:dyDescent="0.25">
      <c r="A115" t="s">
        <v>300</v>
      </c>
      <c r="B115" s="1">
        <v>45821</v>
      </c>
      <c r="C115" t="s">
        <v>270</v>
      </c>
      <c r="D115" t="s">
        <v>164</v>
      </c>
      <c r="E115" t="s">
        <v>93</v>
      </c>
      <c r="F115" t="s">
        <v>94</v>
      </c>
      <c r="G115" t="s">
        <v>64</v>
      </c>
      <c r="H115" t="s">
        <v>32</v>
      </c>
      <c r="I115" t="s">
        <v>72</v>
      </c>
      <c r="J115">
        <v>7</v>
      </c>
      <c r="K115">
        <v>4500</v>
      </c>
      <c r="L115">
        <v>5</v>
      </c>
      <c r="M115">
        <v>29925</v>
      </c>
      <c r="N115">
        <v>22050</v>
      </c>
      <c r="O115">
        <v>7875</v>
      </c>
      <c r="P115" t="s">
        <v>58</v>
      </c>
      <c r="Q115" t="s">
        <v>26</v>
      </c>
      <c r="R115" t="str">
        <f>TEXT(SalesData[[#This Row],[Order Date]],"mmm")</f>
        <v>Jun</v>
      </c>
      <c r="S115" s="2" t="str">
        <f>"Q"&amp;ROUNDUP(MONTH(SalesData[[#This Row],[Order Date]])/3,0)</f>
        <v>Q2</v>
      </c>
      <c r="T115">
        <f>YEAR(SalesData[[#This Row],[Order Date]])</f>
        <v>2025</v>
      </c>
      <c r="U115">
        <f>SalesData[[#This Row],[Profit]]/SalesData[[#This Row],[Sales]]</f>
        <v>0.26315789473684209</v>
      </c>
    </row>
    <row r="116" spans="1:21" x14ac:dyDescent="0.25">
      <c r="A116" t="s">
        <v>301</v>
      </c>
      <c r="B116" s="1">
        <v>45801</v>
      </c>
      <c r="C116" t="s">
        <v>302</v>
      </c>
      <c r="D116" t="s">
        <v>191</v>
      </c>
      <c r="E116" t="s">
        <v>20</v>
      </c>
      <c r="F116" t="s">
        <v>21</v>
      </c>
      <c r="G116" t="s">
        <v>22</v>
      </c>
      <c r="H116" t="s">
        <v>46</v>
      </c>
      <c r="I116" t="s">
        <v>66</v>
      </c>
      <c r="J116">
        <v>2</v>
      </c>
      <c r="K116">
        <v>3500</v>
      </c>
      <c r="L116">
        <v>10</v>
      </c>
      <c r="M116">
        <v>6300</v>
      </c>
      <c r="N116">
        <v>4900</v>
      </c>
      <c r="O116">
        <v>1400</v>
      </c>
      <c r="P116" t="s">
        <v>58</v>
      </c>
      <c r="Q116" t="s">
        <v>26</v>
      </c>
      <c r="R116" t="str">
        <f>TEXT(SalesData[[#This Row],[Order Date]],"mmm")</f>
        <v>May</v>
      </c>
      <c r="S116" s="2" t="str">
        <f>"Q"&amp;ROUNDUP(MONTH(SalesData[[#This Row],[Order Date]])/3,0)</f>
        <v>Q2</v>
      </c>
      <c r="T116">
        <f>YEAR(SalesData[[#This Row],[Order Date]])</f>
        <v>2025</v>
      </c>
      <c r="U116">
        <f>SalesData[[#This Row],[Profit]]/SalesData[[#This Row],[Sales]]</f>
        <v>0.22222222222222221</v>
      </c>
    </row>
    <row r="117" spans="1:21" x14ac:dyDescent="0.25">
      <c r="A117" t="s">
        <v>303</v>
      </c>
      <c r="B117" s="1">
        <v>45722</v>
      </c>
      <c r="C117" t="s">
        <v>157</v>
      </c>
      <c r="D117" t="s">
        <v>110</v>
      </c>
      <c r="E117" t="s">
        <v>93</v>
      </c>
      <c r="F117" t="s">
        <v>94</v>
      </c>
      <c r="G117" t="s">
        <v>64</v>
      </c>
      <c r="H117" t="s">
        <v>46</v>
      </c>
      <c r="I117" t="s">
        <v>24</v>
      </c>
      <c r="J117">
        <v>2</v>
      </c>
      <c r="K117">
        <v>4500</v>
      </c>
      <c r="L117">
        <v>15</v>
      </c>
      <c r="M117">
        <v>7650</v>
      </c>
      <c r="N117">
        <v>6300</v>
      </c>
      <c r="O117">
        <v>1350</v>
      </c>
      <c r="P117" t="s">
        <v>40</v>
      </c>
      <c r="Q117" t="s">
        <v>33</v>
      </c>
      <c r="R117" t="str">
        <f>TEXT(SalesData[[#This Row],[Order Date]],"mmm")</f>
        <v>Mar</v>
      </c>
      <c r="S117" s="2" t="str">
        <f>"Q"&amp;ROUNDUP(MONTH(SalesData[[#This Row],[Order Date]])/3,0)</f>
        <v>Q1</v>
      </c>
      <c r="T117">
        <f>YEAR(SalesData[[#This Row],[Order Date]])</f>
        <v>2025</v>
      </c>
      <c r="U117">
        <f>SalesData[[#This Row],[Profit]]/SalesData[[#This Row],[Sales]]</f>
        <v>0.17647058823529413</v>
      </c>
    </row>
    <row r="118" spans="1:21" x14ac:dyDescent="0.25">
      <c r="A118" t="s">
        <v>304</v>
      </c>
      <c r="B118" s="1">
        <v>45928</v>
      </c>
      <c r="C118" t="s">
        <v>232</v>
      </c>
      <c r="D118" t="s">
        <v>305</v>
      </c>
      <c r="E118" t="s">
        <v>44</v>
      </c>
      <c r="F118" t="s">
        <v>45</v>
      </c>
      <c r="G118" t="s">
        <v>22</v>
      </c>
      <c r="H118" t="s">
        <v>65</v>
      </c>
      <c r="I118" t="s">
        <v>80</v>
      </c>
      <c r="J118">
        <v>1</v>
      </c>
      <c r="K118">
        <v>9500</v>
      </c>
      <c r="L118">
        <v>15</v>
      </c>
      <c r="M118">
        <v>8075</v>
      </c>
      <c r="N118">
        <v>6650</v>
      </c>
      <c r="O118">
        <v>1425</v>
      </c>
      <c r="P118" t="s">
        <v>25</v>
      </c>
      <c r="Q118" t="s">
        <v>26</v>
      </c>
      <c r="R118" t="str">
        <f>TEXT(SalesData[[#This Row],[Order Date]],"mmm")</f>
        <v>Sep</v>
      </c>
      <c r="S118" s="2" t="str">
        <f>"Q"&amp;ROUNDUP(MONTH(SalesData[[#This Row],[Order Date]])/3,0)</f>
        <v>Q3</v>
      </c>
      <c r="T118">
        <f>YEAR(SalesData[[#This Row],[Order Date]])</f>
        <v>2025</v>
      </c>
      <c r="U118">
        <f>SalesData[[#This Row],[Profit]]/SalesData[[#This Row],[Sales]]</f>
        <v>0.17647058823529413</v>
      </c>
    </row>
    <row r="119" spans="1:21" x14ac:dyDescent="0.25">
      <c r="A119" t="s">
        <v>306</v>
      </c>
      <c r="B119" s="1">
        <v>45841</v>
      </c>
      <c r="C119" t="s">
        <v>88</v>
      </c>
      <c r="D119" t="s">
        <v>166</v>
      </c>
      <c r="E119" t="s">
        <v>70</v>
      </c>
      <c r="F119" t="s">
        <v>71</v>
      </c>
      <c r="G119" t="s">
        <v>22</v>
      </c>
      <c r="H119" t="s">
        <v>65</v>
      </c>
      <c r="I119" t="s">
        <v>66</v>
      </c>
      <c r="J119">
        <v>7</v>
      </c>
      <c r="K119">
        <v>1500</v>
      </c>
      <c r="L119">
        <v>0</v>
      </c>
      <c r="M119">
        <v>10500</v>
      </c>
      <c r="N119">
        <v>7349.9999999999991</v>
      </c>
      <c r="O119">
        <v>3150.0000000000009</v>
      </c>
      <c r="P119" t="s">
        <v>54</v>
      </c>
      <c r="Q119" t="s">
        <v>26</v>
      </c>
      <c r="R119" t="str">
        <f>TEXT(SalesData[[#This Row],[Order Date]],"mmm")</f>
        <v>Jul</v>
      </c>
      <c r="S119" s="2" t="str">
        <f>"Q"&amp;ROUNDUP(MONTH(SalesData[[#This Row],[Order Date]])/3,0)</f>
        <v>Q3</v>
      </c>
      <c r="T119">
        <f>YEAR(SalesData[[#This Row],[Order Date]])</f>
        <v>2025</v>
      </c>
      <c r="U119">
        <f>SalesData[[#This Row],[Profit]]/SalesData[[#This Row],[Sales]]</f>
        <v>0.3000000000000001</v>
      </c>
    </row>
    <row r="120" spans="1:21" x14ac:dyDescent="0.25">
      <c r="A120" t="s">
        <v>307</v>
      </c>
      <c r="B120" s="1">
        <v>45670</v>
      </c>
      <c r="C120" t="s">
        <v>99</v>
      </c>
      <c r="D120" t="s">
        <v>161</v>
      </c>
      <c r="E120" t="s">
        <v>20</v>
      </c>
      <c r="F120" t="s">
        <v>21</v>
      </c>
      <c r="G120" t="s">
        <v>22</v>
      </c>
      <c r="H120" t="s">
        <v>23</v>
      </c>
      <c r="I120" t="s">
        <v>80</v>
      </c>
      <c r="J120">
        <v>3</v>
      </c>
      <c r="K120">
        <v>3500</v>
      </c>
      <c r="L120">
        <v>10</v>
      </c>
      <c r="M120">
        <v>9450</v>
      </c>
      <c r="N120">
        <v>7349.9999999999991</v>
      </c>
      <c r="O120">
        <v>2100.0000000000009</v>
      </c>
      <c r="P120" t="s">
        <v>25</v>
      </c>
      <c r="Q120" t="s">
        <v>26</v>
      </c>
      <c r="R120" t="str">
        <f>TEXT(SalesData[[#This Row],[Order Date]],"mmm")</f>
        <v>Jan</v>
      </c>
      <c r="S120" s="2" t="str">
        <f>"Q"&amp;ROUNDUP(MONTH(SalesData[[#This Row],[Order Date]])/3,0)</f>
        <v>Q1</v>
      </c>
      <c r="T120">
        <f>YEAR(SalesData[[#This Row],[Order Date]])</f>
        <v>2025</v>
      </c>
      <c r="U120">
        <f>SalesData[[#This Row],[Profit]]/SalesData[[#This Row],[Sales]]</f>
        <v>0.22222222222222232</v>
      </c>
    </row>
    <row r="121" spans="1:21" x14ac:dyDescent="0.25">
      <c r="A121" t="s">
        <v>308</v>
      </c>
      <c r="B121" s="1">
        <v>45978</v>
      </c>
      <c r="C121" t="s">
        <v>141</v>
      </c>
      <c r="D121" t="s">
        <v>136</v>
      </c>
      <c r="E121" t="s">
        <v>44</v>
      </c>
      <c r="F121" t="s">
        <v>45</v>
      </c>
      <c r="G121" t="s">
        <v>22</v>
      </c>
      <c r="H121" t="s">
        <v>23</v>
      </c>
      <c r="I121" t="s">
        <v>72</v>
      </c>
      <c r="J121">
        <v>3</v>
      </c>
      <c r="K121">
        <v>9500</v>
      </c>
      <c r="L121">
        <v>0</v>
      </c>
      <c r="M121">
        <v>28500</v>
      </c>
      <c r="N121">
        <v>19950</v>
      </c>
      <c r="O121">
        <v>8550</v>
      </c>
      <c r="P121" t="s">
        <v>58</v>
      </c>
      <c r="Q121" t="s">
        <v>76</v>
      </c>
      <c r="R121" t="str">
        <f>TEXT(SalesData[[#This Row],[Order Date]],"mmm")</f>
        <v>Nov</v>
      </c>
      <c r="S121" s="2" t="str">
        <f>"Q"&amp;ROUNDUP(MONTH(SalesData[[#This Row],[Order Date]])/3,0)</f>
        <v>Q4</v>
      </c>
      <c r="T121">
        <f>YEAR(SalesData[[#This Row],[Order Date]])</f>
        <v>2025</v>
      </c>
      <c r="U121">
        <f>SalesData[[#This Row],[Profit]]/SalesData[[#This Row],[Sales]]</f>
        <v>0.3</v>
      </c>
    </row>
    <row r="122" spans="1:21" x14ac:dyDescent="0.25">
      <c r="A122" t="s">
        <v>309</v>
      </c>
      <c r="B122" s="1">
        <v>45950</v>
      </c>
      <c r="C122" t="s">
        <v>232</v>
      </c>
      <c r="D122" t="s">
        <v>310</v>
      </c>
      <c r="E122" t="s">
        <v>44</v>
      </c>
      <c r="F122" t="s">
        <v>45</v>
      </c>
      <c r="G122" t="s">
        <v>22</v>
      </c>
      <c r="H122" t="s">
        <v>23</v>
      </c>
      <c r="I122" t="s">
        <v>24</v>
      </c>
      <c r="J122">
        <v>6</v>
      </c>
      <c r="K122">
        <v>9500</v>
      </c>
      <c r="L122">
        <v>20</v>
      </c>
      <c r="M122">
        <v>45600</v>
      </c>
      <c r="N122">
        <v>39900</v>
      </c>
      <c r="O122">
        <v>5700</v>
      </c>
      <c r="P122" t="s">
        <v>25</v>
      </c>
      <c r="Q122" t="s">
        <v>26</v>
      </c>
      <c r="R122" t="str">
        <f>TEXT(SalesData[[#This Row],[Order Date]],"mmm")</f>
        <v>Oct</v>
      </c>
      <c r="S122" s="2" t="str">
        <f>"Q"&amp;ROUNDUP(MONTH(SalesData[[#This Row],[Order Date]])/3,0)</f>
        <v>Q4</v>
      </c>
      <c r="T122">
        <f>YEAR(SalesData[[#This Row],[Order Date]])</f>
        <v>2025</v>
      </c>
      <c r="U122">
        <f>SalesData[[#This Row],[Profit]]/SalesData[[#This Row],[Sales]]</f>
        <v>0.125</v>
      </c>
    </row>
    <row r="123" spans="1:21" x14ac:dyDescent="0.25">
      <c r="A123" t="s">
        <v>311</v>
      </c>
      <c r="B123" s="1">
        <v>45991</v>
      </c>
      <c r="C123" t="s">
        <v>214</v>
      </c>
      <c r="D123" t="s">
        <v>256</v>
      </c>
      <c r="E123" t="s">
        <v>50</v>
      </c>
      <c r="F123" t="s">
        <v>51</v>
      </c>
      <c r="G123" t="s">
        <v>52</v>
      </c>
      <c r="H123" t="s">
        <v>32</v>
      </c>
      <c r="I123" t="s">
        <v>72</v>
      </c>
      <c r="J123">
        <v>8</v>
      </c>
      <c r="K123">
        <v>3200</v>
      </c>
      <c r="L123">
        <v>15</v>
      </c>
      <c r="M123">
        <v>21760</v>
      </c>
      <c r="N123">
        <v>17920</v>
      </c>
      <c r="O123">
        <v>3840</v>
      </c>
      <c r="P123" t="s">
        <v>58</v>
      </c>
      <c r="Q123" t="s">
        <v>26</v>
      </c>
      <c r="R123" t="str">
        <f>TEXT(SalesData[[#This Row],[Order Date]],"mmm")</f>
        <v>Nov</v>
      </c>
      <c r="S123" s="2" t="str">
        <f>"Q"&amp;ROUNDUP(MONTH(SalesData[[#This Row],[Order Date]])/3,0)</f>
        <v>Q4</v>
      </c>
      <c r="T123">
        <f>YEAR(SalesData[[#This Row],[Order Date]])</f>
        <v>2025</v>
      </c>
      <c r="U123">
        <f>SalesData[[#This Row],[Profit]]/SalesData[[#This Row],[Sales]]</f>
        <v>0.17647058823529413</v>
      </c>
    </row>
    <row r="124" spans="1:21" x14ac:dyDescent="0.25">
      <c r="A124" t="s">
        <v>312</v>
      </c>
      <c r="B124" s="1">
        <v>45849</v>
      </c>
      <c r="C124" t="s">
        <v>280</v>
      </c>
      <c r="D124" t="s">
        <v>278</v>
      </c>
      <c r="E124" t="s">
        <v>44</v>
      </c>
      <c r="F124" t="s">
        <v>45</v>
      </c>
      <c r="G124" t="s">
        <v>22</v>
      </c>
      <c r="H124" t="s">
        <v>65</v>
      </c>
      <c r="I124" t="s">
        <v>80</v>
      </c>
      <c r="J124">
        <v>1</v>
      </c>
      <c r="K124">
        <v>9500</v>
      </c>
      <c r="L124">
        <v>0</v>
      </c>
      <c r="M124">
        <v>9500</v>
      </c>
      <c r="N124">
        <v>6650</v>
      </c>
      <c r="O124">
        <v>2850</v>
      </c>
      <c r="P124" t="s">
        <v>54</v>
      </c>
      <c r="Q124" t="s">
        <v>26</v>
      </c>
      <c r="R124" t="str">
        <f>TEXT(SalesData[[#This Row],[Order Date]],"mmm")</f>
        <v>Jul</v>
      </c>
      <c r="S124" s="2" t="str">
        <f>"Q"&amp;ROUNDUP(MONTH(SalesData[[#This Row],[Order Date]])/3,0)</f>
        <v>Q3</v>
      </c>
      <c r="T124">
        <f>YEAR(SalesData[[#This Row],[Order Date]])</f>
        <v>2025</v>
      </c>
      <c r="U124">
        <f>SalesData[[#This Row],[Profit]]/SalesData[[#This Row],[Sales]]</f>
        <v>0.3</v>
      </c>
    </row>
    <row r="125" spans="1:21" x14ac:dyDescent="0.25">
      <c r="A125" t="s">
        <v>313</v>
      </c>
      <c r="B125" s="1">
        <v>45948</v>
      </c>
      <c r="C125" t="s">
        <v>302</v>
      </c>
      <c r="D125" t="s">
        <v>285</v>
      </c>
      <c r="E125" t="s">
        <v>62</v>
      </c>
      <c r="F125" t="s">
        <v>63</v>
      </c>
      <c r="G125" t="s">
        <v>64</v>
      </c>
      <c r="H125" t="s">
        <v>65</v>
      </c>
      <c r="I125" t="s">
        <v>66</v>
      </c>
      <c r="J125">
        <v>3</v>
      </c>
      <c r="K125">
        <v>8500</v>
      </c>
      <c r="L125">
        <v>20</v>
      </c>
      <c r="M125">
        <v>20400</v>
      </c>
      <c r="N125">
        <v>17850</v>
      </c>
      <c r="O125">
        <v>2550</v>
      </c>
      <c r="P125" t="s">
        <v>58</v>
      </c>
      <c r="Q125" t="s">
        <v>76</v>
      </c>
      <c r="R125" t="str">
        <f>TEXT(SalesData[[#This Row],[Order Date]],"mmm")</f>
        <v>Oct</v>
      </c>
      <c r="S125" s="2" t="str">
        <f>"Q"&amp;ROUNDUP(MONTH(SalesData[[#This Row],[Order Date]])/3,0)</f>
        <v>Q4</v>
      </c>
      <c r="T125">
        <f>YEAR(SalesData[[#This Row],[Order Date]])</f>
        <v>2025</v>
      </c>
      <c r="U125">
        <f>SalesData[[#This Row],[Profit]]/SalesData[[#This Row],[Sales]]</f>
        <v>0.125</v>
      </c>
    </row>
    <row r="126" spans="1:21" x14ac:dyDescent="0.25">
      <c r="A126" t="s">
        <v>314</v>
      </c>
      <c r="B126" s="1">
        <v>45989</v>
      </c>
      <c r="C126" t="s">
        <v>315</v>
      </c>
      <c r="D126" t="s">
        <v>110</v>
      </c>
      <c r="E126" t="s">
        <v>30</v>
      </c>
      <c r="F126" t="s">
        <v>31</v>
      </c>
      <c r="G126" t="s">
        <v>22</v>
      </c>
      <c r="H126" t="s">
        <v>65</v>
      </c>
      <c r="I126" t="s">
        <v>24</v>
      </c>
      <c r="J126">
        <v>7</v>
      </c>
      <c r="K126">
        <v>800</v>
      </c>
      <c r="L126">
        <v>0</v>
      </c>
      <c r="M126">
        <v>5600</v>
      </c>
      <c r="N126">
        <v>3920</v>
      </c>
      <c r="O126">
        <v>1680</v>
      </c>
      <c r="P126" t="s">
        <v>40</v>
      </c>
      <c r="Q126" t="s">
        <v>26</v>
      </c>
      <c r="R126" t="str">
        <f>TEXT(SalesData[[#This Row],[Order Date]],"mmm")</f>
        <v>Nov</v>
      </c>
      <c r="S126" s="2" t="str">
        <f>"Q"&amp;ROUNDUP(MONTH(SalesData[[#This Row],[Order Date]])/3,0)</f>
        <v>Q4</v>
      </c>
      <c r="T126">
        <f>YEAR(SalesData[[#This Row],[Order Date]])</f>
        <v>2025</v>
      </c>
      <c r="U126">
        <f>SalesData[[#This Row],[Profit]]/SalesData[[#This Row],[Sales]]</f>
        <v>0.3</v>
      </c>
    </row>
    <row r="127" spans="1:21" x14ac:dyDescent="0.25">
      <c r="A127" t="s">
        <v>316</v>
      </c>
      <c r="B127" s="1">
        <v>45754</v>
      </c>
      <c r="C127" t="s">
        <v>91</v>
      </c>
      <c r="D127" t="s">
        <v>317</v>
      </c>
      <c r="E127" t="s">
        <v>62</v>
      </c>
      <c r="F127" t="s">
        <v>63</v>
      </c>
      <c r="G127" t="s">
        <v>64</v>
      </c>
      <c r="H127" t="s">
        <v>32</v>
      </c>
      <c r="I127" t="s">
        <v>66</v>
      </c>
      <c r="J127">
        <v>7</v>
      </c>
      <c r="K127">
        <v>8500</v>
      </c>
      <c r="L127">
        <v>15</v>
      </c>
      <c r="M127">
        <v>50575</v>
      </c>
      <c r="N127">
        <v>41650</v>
      </c>
      <c r="O127">
        <v>8925</v>
      </c>
      <c r="P127" t="s">
        <v>25</v>
      </c>
      <c r="Q127" t="s">
        <v>26</v>
      </c>
      <c r="R127" t="str">
        <f>TEXT(SalesData[[#This Row],[Order Date]],"mmm")</f>
        <v>Apr</v>
      </c>
      <c r="S127" s="2" t="str">
        <f>"Q"&amp;ROUNDUP(MONTH(SalesData[[#This Row],[Order Date]])/3,0)</f>
        <v>Q2</v>
      </c>
      <c r="T127">
        <f>YEAR(SalesData[[#This Row],[Order Date]])</f>
        <v>2025</v>
      </c>
      <c r="U127">
        <f>SalesData[[#This Row],[Profit]]/SalesData[[#This Row],[Sales]]</f>
        <v>0.17647058823529413</v>
      </c>
    </row>
    <row r="128" spans="1:21" x14ac:dyDescent="0.25">
      <c r="A128" t="s">
        <v>318</v>
      </c>
      <c r="B128" s="1">
        <v>45907</v>
      </c>
      <c r="C128" t="s">
        <v>212</v>
      </c>
      <c r="D128" t="s">
        <v>224</v>
      </c>
      <c r="E128" t="s">
        <v>70</v>
      </c>
      <c r="F128" t="s">
        <v>71</v>
      </c>
      <c r="G128" t="s">
        <v>22</v>
      </c>
      <c r="H128" t="s">
        <v>65</v>
      </c>
      <c r="I128" t="s">
        <v>53</v>
      </c>
      <c r="J128">
        <v>7</v>
      </c>
      <c r="K128">
        <v>1500</v>
      </c>
      <c r="L128">
        <v>5</v>
      </c>
      <c r="M128">
        <v>9975</v>
      </c>
      <c r="N128">
        <v>7349.9999999999991</v>
      </c>
      <c r="O128">
        <v>2625.0000000000009</v>
      </c>
      <c r="P128" t="s">
        <v>58</v>
      </c>
      <c r="Q128" t="s">
        <v>33</v>
      </c>
      <c r="R128" t="str">
        <f>TEXT(SalesData[[#This Row],[Order Date]],"mmm")</f>
        <v>Sep</v>
      </c>
      <c r="S128" s="2" t="str">
        <f>"Q"&amp;ROUNDUP(MONTH(SalesData[[#This Row],[Order Date]])/3,0)</f>
        <v>Q3</v>
      </c>
      <c r="T128">
        <f>YEAR(SalesData[[#This Row],[Order Date]])</f>
        <v>2025</v>
      </c>
      <c r="U128">
        <f>SalesData[[#This Row],[Profit]]/SalesData[[#This Row],[Sales]]</f>
        <v>0.2631578947368422</v>
      </c>
    </row>
    <row r="129" spans="1:21" x14ac:dyDescent="0.25">
      <c r="A129" t="s">
        <v>319</v>
      </c>
      <c r="B129" s="1">
        <v>45953</v>
      </c>
      <c r="C129" t="s">
        <v>147</v>
      </c>
      <c r="D129" t="s">
        <v>320</v>
      </c>
      <c r="E129" t="s">
        <v>93</v>
      </c>
      <c r="F129" t="s">
        <v>94</v>
      </c>
      <c r="G129" t="s">
        <v>64</v>
      </c>
      <c r="H129" t="s">
        <v>65</v>
      </c>
      <c r="I129" t="s">
        <v>53</v>
      </c>
      <c r="J129">
        <v>10</v>
      </c>
      <c r="K129">
        <v>4500</v>
      </c>
      <c r="L129">
        <v>15</v>
      </c>
      <c r="M129">
        <v>38250</v>
      </c>
      <c r="N129">
        <v>31500</v>
      </c>
      <c r="O129">
        <v>6750.0000000000036</v>
      </c>
      <c r="P129" t="s">
        <v>40</v>
      </c>
      <c r="Q129" t="s">
        <v>33</v>
      </c>
      <c r="R129" t="str">
        <f>TEXT(SalesData[[#This Row],[Order Date]],"mmm")</f>
        <v>Oct</v>
      </c>
      <c r="S129" s="2" t="str">
        <f>"Q"&amp;ROUNDUP(MONTH(SalesData[[#This Row],[Order Date]])/3,0)</f>
        <v>Q4</v>
      </c>
      <c r="T129">
        <f>YEAR(SalesData[[#This Row],[Order Date]])</f>
        <v>2025</v>
      </c>
      <c r="U129">
        <f>SalesData[[#This Row],[Profit]]/SalesData[[#This Row],[Sales]]</f>
        <v>0.17647058823529421</v>
      </c>
    </row>
    <row r="130" spans="1:21" x14ac:dyDescent="0.25">
      <c r="A130" t="s">
        <v>321</v>
      </c>
      <c r="B130" s="1">
        <v>45981</v>
      </c>
      <c r="C130" t="s">
        <v>157</v>
      </c>
      <c r="D130" t="s">
        <v>295</v>
      </c>
      <c r="E130" t="s">
        <v>70</v>
      </c>
      <c r="F130" t="s">
        <v>71</v>
      </c>
      <c r="G130" t="s">
        <v>22</v>
      </c>
      <c r="H130" t="s">
        <v>65</v>
      </c>
      <c r="I130" t="s">
        <v>24</v>
      </c>
      <c r="J130">
        <v>2</v>
      </c>
      <c r="K130">
        <v>1500</v>
      </c>
      <c r="L130">
        <v>15</v>
      </c>
      <c r="M130">
        <v>2550</v>
      </c>
      <c r="N130">
        <v>2100</v>
      </c>
      <c r="O130">
        <v>450</v>
      </c>
      <c r="P130" t="s">
        <v>25</v>
      </c>
      <c r="Q130" t="s">
        <v>76</v>
      </c>
      <c r="R130" t="str">
        <f>TEXT(SalesData[[#This Row],[Order Date]],"mmm")</f>
        <v>Nov</v>
      </c>
      <c r="S130" s="2" t="str">
        <f>"Q"&amp;ROUNDUP(MONTH(SalesData[[#This Row],[Order Date]])/3,0)</f>
        <v>Q4</v>
      </c>
      <c r="T130">
        <f>YEAR(SalesData[[#This Row],[Order Date]])</f>
        <v>2025</v>
      </c>
      <c r="U130">
        <f>SalesData[[#This Row],[Profit]]/SalesData[[#This Row],[Sales]]</f>
        <v>0.17647058823529413</v>
      </c>
    </row>
    <row r="131" spans="1:21" x14ac:dyDescent="0.25">
      <c r="A131" t="s">
        <v>322</v>
      </c>
      <c r="B131" s="1">
        <v>45807</v>
      </c>
      <c r="C131" t="s">
        <v>323</v>
      </c>
      <c r="D131" t="s">
        <v>204</v>
      </c>
      <c r="E131" t="s">
        <v>62</v>
      </c>
      <c r="F131" t="s">
        <v>63</v>
      </c>
      <c r="G131" t="s">
        <v>64</v>
      </c>
      <c r="H131" t="s">
        <v>23</v>
      </c>
      <c r="I131" t="s">
        <v>72</v>
      </c>
      <c r="J131">
        <v>2</v>
      </c>
      <c r="K131">
        <v>8500</v>
      </c>
      <c r="L131">
        <v>5</v>
      </c>
      <c r="M131">
        <v>16150</v>
      </c>
      <c r="N131">
        <v>11900</v>
      </c>
      <c r="O131">
        <v>4250</v>
      </c>
      <c r="P131" t="s">
        <v>54</v>
      </c>
      <c r="Q131" t="s">
        <v>26</v>
      </c>
      <c r="R131" t="str">
        <f>TEXT(SalesData[[#This Row],[Order Date]],"mmm")</f>
        <v>May</v>
      </c>
      <c r="S131" s="2" t="str">
        <f>"Q"&amp;ROUNDUP(MONTH(SalesData[[#This Row],[Order Date]])/3,0)</f>
        <v>Q2</v>
      </c>
      <c r="T131">
        <f>YEAR(SalesData[[#This Row],[Order Date]])</f>
        <v>2025</v>
      </c>
      <c r="U131">
        <f>SalesData[[#This Row],[Profit]]/SalesData[[#This Row],[Sales]]</f>
        <v>0.26315789473684209</v>
      </c>
    </row>
    <row r="132" spans="1:21" x14ac:dyDescent="0.25">
      <c r="A132" t="s">
        <v>324</v>
      </c>
      <c r="B132" s="1">
        <v>45659</v>
      </c>
      <c r="C132" t="s">
        <v>325</v>
      </c>
      <c r="D132" t="s">
        <v>119</v>
      </c>
      <c r="E132" t="s">
        <v>50</v>
      </c>
      <c r="F132" t="s">
        <v>51</v>
      </c>
      <c r="G132" t="s">
        <v>52</v>
      </c>
      <c r="H132" t="s">
        <v>32</v>
      </c>
      <c r="I132" t="s">
        <v>80</v>
      </c>
      <c r="J132">
        <v>9</v>
      </c>
      <c r="K132">
        <v>3200</v>
      </c>
      <c r="L132">
        <v>15</v>
      </c>
      <c r="M132">
        <v>24480</v>
      </c>
      <c r="N132">
        <v>20160</v>
      </c>
      <c r="O132">
        <v>4320</v>
      </c>
      <c r="P132" t="s">
        <v>54</v>
      </c>
      <c r="Q132" t="s">
        <v>26</v>
      </c>
      <c r="R132" t="str">
        <f>TEXT(SalesData[[#This Row],[Order Date]],"mmm")</f>
        <v>Jan</v>
      </c>
      <c r="S132" s="2" t="str">
        <f>"Q"&amp;ROUNDUP(MONTH(SalesData[[#This Row],[Order Date]])/3,0)</f>
        <v>Q1</v>
      </c>
      <c r="T132">
        <f>YEAR(SalesData[[#This Row],[Order Date]])</f>
        <v>2025</v>
      </c>
      <c r="U132">
        <f>SalesData[[#This Row],[Profit]]/SalesData[[#This Row],[Sales]]</f>
        <v>0.17647058823529413</v>
      </c>
    </row>
    <row r="133" spans="1:21" x14ac:dyDescent="0.25">
      <c r="A133" t="s">
        <v>326</v>
      </c>
      <c r="B133" s="1">
        <v>45858</v>
      </c>
      <c r="C133" t="s">
        <v>250</v>
      </c>
      <c r="D133" t="s">
        <v>113</v>
      </c>
      <c r="E133" t="s">
        <v>20</v>
      </c>
      <c r="F133" t="s">
        <v>21</v>
      </c>
      <c r="G133" t="s">
        <v>22</v>
      </c>
      <c r="H133" t="s">
        <v>23</v>
      </c>
      <c r="I133" t="s">
        <v>80</v>
      </c>
      <c r="J133">
        <v>9</v>
      </c>
      <c r="K133">
        <v>3500</v>
      </c>
      <c r="L133">
        <v>20</v>
      </c>
      <c r="M133">
        <v>25200</v>
      </c>
      <c r="N133">
        <v>22050</v>
      </c>
      <c r="O133">
        <v>3150</v>
      </c>
      <c r="P133" t="s">
        <v>25</v>
      </c>
      <c r="Q133" t="s">
        <v>26</v>
      </c>
      <c r="R133" t="str">
        <f>TEXT(SalesData[[#This Row],[Order Date]],"mmm")</f>
        <v>Jul</v>
      </c>
      <c r="S133" s="2" t="str">
        <f>"Q"&amp;ROUNDUP(MONTH(SalesData[[#This Row],[Order Date]])/3,0)</f>
        <v>Q3</v>
      </c>
      <c r="T133">
        <f>YEAR(SalesData[[#This Row],[Order Date]])</f>
        <v>2025</v>
      </c>
      <c r="U133">
        <f>SalesData[[#This Row],[Profit]]/SalesData[[#This Row],[Sales]]</f>
        <v>0.125</v>
      </c>
    </row>
    <row r="134" spans="1:21" x14ac:dyDescent="0.25">
      <c r="A134" t="s">
        <v>327</v>
      </c>
      <c r="B134" s="1">
        <v>45801</v>
      </c>
      <c r="C134" t="s">
        <v>277</v>
      </c>
      <c r="D134" t="s">
        <v>89</v>
      </c>
      <c r="E134" t="s">
        <v>44</v>
      </c>
      <c r="F134" t="s">
        <v>45</v>
      </c>
      <c r="G134" t="s">
        <v>22</v>
      </c>
      <c r="H134" t="s">
        <v>23</v>
      </c>
      <c r="I134" t="s">
        <v>24</v>
      </c>
      <c r="J134">
        <v>4</v>
      </c>
      <c r="K134">
        <v>9500</v>
      </c>
      <c r="L134">
        <v>5</v>
      </c>
      <c r="M134">
        <v>36100</v>
      </c>
      <c r="N134">
        <v>26600</v>
      </c>
      <c r="O134">
        <v>9500</v>
      </c>
      <c r="P134" t="s">
        <v>54</v>
      </c>
      <c r="Q134" t="s">
        <v>76</v>
      </c>
      <c r="R134" t="str">
        <f>TEXT(SalesData[[#This Row],[Order Date]],"mmm")</f>
        <v>May</v>
      </c>
      <c r="S134" s="2" t="str">
        <f>"Q"&amp;ROUNDUP(MONTH(SalesData[[#This Row],[Order Date]])/3,0)</f>
        <v>Q2</v>
      </c>
      <c r="T134">
        <f>YEAR(SalesData[[#This Row],[Order Date]])</f>
        <v>2025</v>
      </c>
      <c r="U134">
        <f>SalesData[[#This Row],[Profit]]/SalesData[[#This Row],[Sales]]</f>
        <v>0.26315789473684209</v>
      </c>
    </row>
    <row r="135" spans="1:21" x14ac:dyDescent="0.25">
      <c r="A135" t="s">
        <v>328</v>
      </c>
      <c r="B135" s="1">
        <v>45936</v>
      </c>
      <c r="C135" t="s">
        <v>270</v>
      </c>
      <c r="D135" t="s">
        <v>329</v>
      </c>
      <c r="E135" t="s">
        <v>50</v>
      </c>
      <c r="F135" t="s">
        <v>51</v>
      </c>
      <c r="G135" t="s">
        <v>52</v>
      </c>
      <c r="H135" t="s">
        <v>65</v>
      </c>
      <c r="I135" t="s">
        <v>39</v>
      </c>
      <c r="J135">
        <v>3</v>
      </c>
      <c r="K135">
        <v>3200</v>
      </c>
      <c r="L135">
        <v>20</v>
      </c>
      <c r="M135">
        <v>7680</v>
      </c>
      <c r="N135">
        <v>6720</v>
      </c>
      <c r="O135">
        <v>960</v>
      </c>
      <c r="P135" t="s">
        <v>54</v>
      </c>
      <c r="Q135" t="s">
        <v>76</v>
      </c>
      <c r="R135" t="str">
        <f>TEXT(SalesData[[#This Row],[Order Date]],"mmm")</f>
        <v>Oct</v>
      </c>
      <c r="S135" s="2" t="str">
        <f>"Q"&amp;ROUNDUP(MONTH(SalesData[[#This Row],[Order Date]])/3,0)</f>
        <v>Q4</v>
      </c>
      <c r="T135">
        <f>YEAR(SalesData[[#This Row],[Order Date]])</f>
        <v>2025</v>
      </c>
      <c r="U135">
        <f>SalesData[[#This Row],[Profit]]/SalesData[[#This Row],[Sales]]</f>
        <v>0.125</v>
      </c>
    </row>
    <row r="136" spans="1:21" x14ac:dyDescent="0.25">
      <c r="A136" t="s">
        <v>330</v>
      </c>
      <c r="B136" s="1">
        <v>45941</v>
      </c>
      <c r="C136" t="s">
        <v>85</v>
      </c>
      <c r="D136" t="s">
        <v>222</v>
      </c>
      <c r="E136" t="s">
        <v>44</v>
      </c>
      <c r="F136" t="s">
        <v>45</v>
      </c>
      <c r="G136" t="s">
        <v>22</v>
      </c>
      <c r="H136" t="s">
        <v>23</v>
      </c>
      <c r="I136" t="s">
        <v>24</v>
      </c>
      <c r="J136">
        <v>6</v>
      </c>
      <c r="K136">
        <v>9500</v>
      </c>
      <c r="L136">
        <v>20</v>
      </c>
      <c r="M136">
        <v>45600</v>
      </c>
      <c r="N136">
        <v>39900</v>
      </c>
      <c r="O136">
        <v>5700</v>
      </c>
      <c r="P136" t="s">
        <v>40</v>
      </c>
      <c r="Q136" t="s">
        <v>33</v>
      </c>
      <c r="R136" t="str">
        <f>TEXT(SalesData[[#This Row],[Order Date]],"mmm")</f>
        <v>Oct</v>
      </c>
      <c r="S136" s="2" t="str">
        <f>"Q"&amp;ROUNDUP(MONTH(SalesData[[#This Row],[Order Date]])/3,0)</f>
        <v>Q4</v>
      </c>
      <c r="T136">
        <f>YEAR(SalesData[[#This Row],[Order Date]])</f>
        <v>2025</v>
      </c>
      <c r="U136">
        <f>SalesData[[#This Row],[Profit]]/SalesData[[#This Row],[Sales]]</f>
        <v>0.125</v>
      </c>
    </row>
    <row r="137" spans="1:21" x14ac:dyDescent="0.25">
      <c r="A137" t="s">
        <v>331</v>
      </c>
      <c r="B137" s="1">
        <v>45809</v>
      </c>
      <c r="C137" t="s">
        <v>332</v>
      </c>
      <c r="D137" t="s">
        <v>177</v>
      </c>
      <c r="E137" t="s">
        <v>62</v>
      </c>
      <c r="F137" t="s">
        <v>63</v>
      </c>
      <c r="G137" t="s">
        <v>64</v>
      </c>
      <c r="H137" t="s">
        <v>23</v>
      </c>
      <c r="I137" t="s">
        <v>24</v>
      </c>
      <c r="J137">
        <v>1</v>
      </c>
      <c r="K137">
        <v>8500</v>
      </c>
      <c r="L137">
        <v>0</v>
      </c>
      <c r="M137">
        <v>8500</v>
      </c>
      <c r="N137">
        <v>5950</v>
      </c>
      <c r="O137">
        <v>2550</v>
      </c>
      <c r="P137" t="s">
        <v>40</v>
      </c>
      <c r="Q137" t="s">
        <v>26</v>
      </c>
      <c r="R137" t="str">
        <f>TEXT(SalesData[[#This Row],[Order Date]],"mmm")</f>
        <v>Jun</v>
      </c>
      <c r="S137" s="2" t="str">
        <f>"Q"&amp;ROUNDUP(MONTH(SalesData[[#This Row],[Order Date]])/3,0)</f>
        <v>Q2</v>
      </c>
      <c r="T137">
        <f>YEAR(SalesData[[#This Row],[Order Date]])</f>
        <v>2025</v>
      </c>
      <c r="U137">
        <f>SalesData[[#This Row],[Profit]]/SalesData[[#This Row],[Sales]]</f>
        <v>0.3</v>
      </c>
    </row>
    <row r="138" spans="1:21" x14ac:dyDescent="0.25">
      <c r="A138" t="s">
        <v>333</v>
      </c>
      <c r="B138" s="1">
        <v>45918</v>
      </c>
      <c r="C138" t="s">
        <v>334</v>
      </c>
      <c r="D138" t="s">
        <v>191</v>
      </c>
      <c r="E138" t="s">
        <v>37</v>
      </c>
      <c r="F138" t="s">
        <v>38</v>
      </c>
      <c r="G138" t="s">
        <v>22</v>
      </c>
      <c r="H138" t="s">
        <v>23</v>
      </c>
      <c r="I138" t="s">
        <v>66</v>
      </c>
      <c r="J138">
        <v>2</v>
      </c>
      <c r="K138">
        <v>55000</v>
      </c>
      <c r="L138">
        <v>10</v>
      </c>
      <c r="M138">
        <v>99000</v>
      </c>
      <c r="N138">
        <v>77000</v>
      </c>
      <c r="O138">
        <v>22000</v>
      </c>
      <c r="P138" t="s">
        <v>25</v>
      </c>
      <c r="Q138" t="s">
        <v>76</v>
      </c>
      <c r="R138" t="str">
        <f>TEXT(SalesData[[#This Row],[Order Date]],"mmm")</f>
        <v>Sep</v>
      </c>
      <c r="S138" s="2" t="str">
        <f>"Q"&amp;ROUNDUP(MONTH(SalesData[[#This Row],[Order Date]])/3,0)</f>
        <v>Q3</v>
      </c>
      <c r="T138">
        <f>YEAR(SalesData[[#This Row],[Order Date]])</f>
        <v>2025</v>
      </c>
      <c r="U138">
        <f>SalesData[[#This Row],[Profit]]/SalesData[[#This Row],[Sales]]</f>
        <v>0.22222222222222221</v>
      </c>
    </row>
    <row r="139" spans="1:21" x14ac:dyDescent="0.25">
      <c r="A139" t="s">
        <v>335</v>
      </c>
      <c r="B139" s="1">
        <v>45708</v>
      </c>
      <c r="C139" t="s">
        <v>182</v>
      </c>
      <c r="D139" t="s">
        <v>336</v>
      </c>
      <c r="E139" t="s">
        <v>44</v>
      </c>
      <c r="F139" t="s">
        <v>45</v>
      </c>
      <c r="G139" t="s">
        <v>22</v>
      </c>
      <c r="H139" t="s">
        <v>32</v>
      </c>
      <c r="I139" t="s">
        <v>53</v>
      </c>
      <c r="J139">
        <v>3</v>
      </c>
      <c r="K139">
        <v>9500</v>
      </c>
      <c r="L139">
        <v>15</v>
      </c>
      <c r="M139">
        <v>24225</v>
      </c>
      <c r="N139">
        <v>19950</v>
      </c>
      <c r="O139">
        <v>4275</v>
      </c>
      <c r="P139" t="s">
        <v>58</v>
      </c>
      <c r="Q139" t="s">
        <v>76</v>
      </c>
      <c r="R139" t="str">
        <f>TEXT(SalesData[[#This Row],[Order Date]],"mmm")</f>
        <v>Feb</v>
      </c>
      <c r="S139" s="2" t="str">
        <f>"Q"&amp;ROUNDUP(MONTH(SalesData[[#This Row],[Order Date]])/3,0)</f>
        <v>Q1</v>
      </c>
      <c r="T139">
        <f>YEAR(SalesData[[#This Row],[Order Date]])</f>
        <v>2025</v>
      </c>
      <c r="U139">
        <f>SalesData[[#This Row],[Profit]]/SalesData[[#This Row],[Sales]]</f>
        <v>0.17647058823529413</v>
      </c>
    </row>
    <row r="140" spans="1:21" x14ac:dyDescent="0.25">
      <c r="A140" t="s">
        <v>337</v>
      </c>
      <c r="B140" s="1">
        <v>45879</v>
      </c>
      <c r="C140" t="s">
        <v>118</v>
      </c>
      <c r="D140" t="s">
        <v>338</v>
      </c>
      <c r="E140" t="s">
        <v>50</v>
      </c>
      <c r="F140" t="s">
        <v>51</v>
      </c>
      <c r="G140" t="s">
        <v>52</v>
      </c>
      <c r="H140" t="s">
        <v>65</v>
      </c>
      <c r="I140" t="s">
        <v>53</v>
      </c>
      <c r="J140">
        <v>2</v>
      </c>
      <c r="K140">
        <v>3200</v>
      </c>
      <c r="L140">
        <v>0</v>
      </c>
      <c r="M140">
        <v>6400</v>
      </c>
      <c r="N140">
        <v>4480</v>
      </c>
      <c r="O140">
        <v>1920</v>
      </c>
      <c r="P140" t="s">
        <v>25</v>
      </c>
      <c r="Q140" t="s">
        <v>76</v>
      </c>
      <c r="R140" t="str">
        <f>TEXT(SalesData[[#This Row],[Order Date]],"mmm")</f>
        <v>Aug</v>
      </c>
      <c r="S140" s="2" t="str">
        <f>"Q"&amp;ROUNDUP(MONTH(SalesData[[#This Row],[Order Date]])/3,0)</f>
        <v>Q3</v>
      </c>
      <c r="T140">
        <f>YEAR(SalesData[[#This Row],[Order Date]])</f>
        <v>2025</v>
      </c>
      <c r="U140">
        <f>SalesData[[#This Row],[Profit]]/SalesData[[#This Row],[Sales]]</f>
        <v>0.3</v>
      </c>
    </row>
    <row r="141" spans="1:21" x14ac:dyDescent="0.25">
      <c r="A141" t="s">
        <v>339</v>
      </c>
      <c r="B141" s="1">
        <v>45911</v>
      </c>
      <c r="C141" t="s">
        <v>261</v>
      </c>
      <c r="D141" t="s">
        <v>340</v>
      </c>
      <c r="E141" t="s">
        <v>50</v>
      </c>
      <c r="F141" t="s">
        <v>51</v>
      </c>
      <c r="G141" t="s">
        <v>52</v>
      </c>
      <c r="H141" t="s">
        <v>32</v>
      </c>
      <c r="I141" t="s">
        <v>53</v>
      </c>
      <c r="J141">
        <v>10</v>
      </c>
      <c r="K141">
        <v>3200</v>
      </c>
      <c r="L141">
        <v>15</v>
      </c>
      <c r="M141">
        <v>27200</v>
      </c>
      <c r="N141">
        <v>22400</v>
      </c>
      <c r="O141">
        <v>4800</v>
      </c>
      <c r="P141" t="s">
        <v>58</v>
      </c>
      <c r="Q141" t="s">
        <v>33</v>
      </c>
      <c r="R141" t="str">
        <f>TEXT(SalesData[[#This Row],[Order Date]],"mmm")</f>
        <v>Sep</v>
      </c>
      <c r="S141" s="2" t="str">
        <f>"Q"&amp;ROUNDUP(MONTH(SalesData[[#This Row],[Order Date]])/3,0)</f>
        <v>Q3</v>
      </c>
      <c r="T141">
        <f>YEAR(SalesData[[#This Row],[Order Date]])</f>
        <v>2025</v>
      </c>
      <c r="U141">
        <f>SalesData[[#This Row],[Profit]]/SalesData[[#This Row],[Sales]]</f>
        <v>0.17647058823529413</v>
      </c>
    </row>
    <row r="142" spans="1:21" x14ac:dyDescent="0.25">
      <c r="A142" t="s">
        <v>341</v>
      </c>
      <c r="B142" s="1">
        <v>45881</v>
      </c>
      <c r="C142" t="s">
        <v>135</v>
      </c>
      <c r="D142" t="s">
        <v>342</v>
      </c>
      <c r="E142" t="s">
        <v>30</v>
      </c>
      <c r="F142" t="s">
        <v>31</v>
      </c>
      <c r="G142" t="s">
        <v>22</v>
      </c>
      <c r="H142" t="s">
        <v>23</v>
      </c>
      <c r="I142" t="s">
        <v>66</v>
      </c>
      <c r="J142">
        <v>4</v>
      </c>
      <c r="K142">
        <v>800</v>
      </c>
      <c r="L142">
        <v>15</v>
      </c>
      <c r="M142">
        <v>2720</v>
      </c>
      <c r="N142">
        <v>2240</v>
      </c>
      <c r="O142">
        <v>480</v>
      </c>
      <c r="P142" t="s">
        <v>25</v>
      </c>
      <c r="Q142" t="s">
        <v>26</v>
      </c>
      <c r="R142" t="str">
        <f>TEXT(SalesData[[#This Row],[Order Date]],"mmm")</f>
        <v>Aug</v>
      </c>
      <c r="S142" s="2" t="str">
        <f>"Q"&amp;ROUNDUP(MONTH(SalesData[[#This Row],[Order Date]])/3,0)</f>
        <v>Q3</v>
      </c>
      <c r="T142">
        <f>YEAR(SalesData[[#This Row],[Order Date]])</f>
        <v>2025</v>
      </c>
      <c r="U142">
        <f>SalesData[[#This Row],[Profit]]/SalesData[[#This Row],[Sales]]</f>
        <v>0.17647058823529413</v>
      </c>
    </row>
    <row r="143" spans="1:21" x14ac:dyDescent="0.25">
      <c r="A143" t="s">
        <v>343</v>
      </c>
      <c r="B143" s="1">
        <v>45945</v>
      </c>
      <c r="C143" t="s">
        <v>334</v>
      </c>
      <c r="D143" t="s">
        <v>177</v>
      </c>
      <c r="E143" t="s">
        <v>50</v>
      </c>
      <c r="F143" t="s">
        <v>51</v>
      </c>
      <c r="G143" t="s">
        <v>52</v>
      </c>
      <c r="H143" t="s">
        <v>65</v>
      </c>
      <c r="I143" t="s">
        <v>39</v>
      </c>
      <c r="J143">
        <v>5</v>
      </c>
      <c r="K143">
        <v>3200</v>
      </c>
      <c r="L143">
        <v>5</v>
      </c>
      <c r="M143">
        <v>15200</v>
      </c>
      <c r="N143">
        <v>11200</v>
      </c>
      <c r="O143">
        <v>4000</v>
      </c>
      <c r="P143" t="s">
        <v>25</v>
      </c>
      <c r="Q143" t="s">
        <v>26</v>
      </c>
      <c r="R143" t="str">
        <f>TEXT(SalesData[[#This Row],[Order Date]],"mmm")</f>
        <v>Oct</v>
      </c>
      <c r="S143" s="2" t="str">
        <f>"Q"&amp;ROUNDUP(MONTH(SalesData[[#This Row],[Order Date]])/3,0)</f>
        <v>Q4</v>
      </c>
      <c r="T143">
        <f>YEAR(SalesData[[#This Row],[Order Date]])</f>
        <v>2025</v>
      </c>
      <c r="U143">
        <f>SalesData[[#This Row],[Profit]]/SalesData[[#This Row],[Sales]]</f>
        <v>0.26315789473684209</v>
      </c>
    </row>
    <row r="144" spans="1:21" x14ac:dyDescent="0.25">
      <c r="A144" t="s">
        <v>344</v>
      </c>
      <c r="B144" s="1">
        <v>45906</v>
      </c>
      <c r="C144" t="s">
        <v>345</v>
      </c>
      <c r="D144" t="s">
        <v>204</v>
      </c>
      <c r="E144" t="s">
        <v>93</v>
      </c>
      <c r="F144" t="s">
        <v>94</v>
      </c>
      <c r="G144" t="s">
        <v>64</v>
      </c>
      <c r="H144" t="s">
        <v>32</v>
      </c>
      <c r="I144" t="s">
        <v>72</v>
      </c>
      <c r="J144">
        <v>8</v>
      </c>
      <c r="K144">
        <v>4500</v>
      </c>
      <c r="L144">
        <v>15</v>
      </c>
      <c r="M144">
        <v>30600</v>
      </c>
      <c r="N144">
        <v>25200</v>
      </c>
      <c r="O144">
        <v>5400</v>
      </c>
      <c r="P144" t="s">
        <v>58</v>
      </c>
      <c r="Q144" t="s">
        <v>33</v>
      </c>
      <c r="R144" t="str">
        <f>TEXT(SalesData[[#This Row],[Order Date]],"mmm")</f>
        <v>Sep</v>
      </c>
      <c r="S144" s="2" t="str">
        <f>"Q"&amp;ROUNDUP(MONTH(SalesData[[#This Row],[Order Date]])/3,0)</f>
        <v>Q3</v>
      </c>
      <c r="T144">
        <f>YEAR(SalesData[[#This Row],[Order Date]])</f>
        <v>2025</v>
      </c>
      <c r="U144">
        <f>SalesData[[#This Row],[Profit]]/SalesData[[#This Row],[Sales]]</f>
        <v>0.17647058823529413</v>
      </c>
    </row>
    <row r="145" spans="1:21" x14ac:dyDescent="0.25">
      <c r="A145" t="s">
        <v>346</v>
      </c>
      <c r="B145" s="1">
        <v>45830</v>
      </c>
      <c r="C145" t="s">
        <v>85</v>
      </c>
      <c r="D145" t="s">
        <v>293</v>
      </c>
      <c r="E145" t="s">
        <v>44</v>
      </c>
      <c r="F145" t="s">
        <v>45</v>
      </c>
      <c r="G145" t="s">
        <v>22</v>
      </c>
      <c r="H145" t="s">
        <v>65</v>
      </c>
      <c r="I145" t="s">
        <v>53</v>
      </c>
      <c r="J145">
        <v>2</v>
      </c>
      <c r="K145">
        <v>9500</v>
      </c>
      <c r="L145">
        <v>10</v>
      </c>
      <c r="M145">
        <v>17100</v>
      </c>
      <c r="N145">
        <v>13300</v>
      </c>
      <c r="O145">
        <v>3800</v>
      </c>
      <c r="P145" t="s">
        <v>58</v>
      </c>
      <c r="Q145" t="s">
        <v>33</v>
      </c>
      <c r="R145" t="str">
        <f>TEXT(SalesData[[#This Row],[Order Date]],"mmm")</f>
        <v>Jun</v>
      </c>
      <c r="S145" s="2" t="str">
        <f>"Q"&amp;ROUNDUP(MONTH(SalesData[[#This Row],[Order Date]])/3,0)</f>
        <v>Q2</v>
      </c>
      <c r="T145">
        <f>YEAR(SalesData[[#This Row],[Order Date]])</f>
        <v>2025</v>
      </c>
      <c r="U145">
        <f>SalesData[[#This Row],[Profit]]/SalesData[[#This Row],[Sales]]</f>
        <v>0.22222222222222221</v>
      </c>
    </row>
    <row r="146" spans="1:21" x14ac:dyDescent="0.25">
      <c r="A146" t="s">
        <v>347</v>
      </c>
      <c r="B146" s="1">
        <v>45939</v>
      </c>
      <c r="C146" t="s">
        <v>348</v>
      </c>
      <c r="D146" t="s">
        <v>336</v>
      </c>
      <c r="E146" t="s">
        <v>93</v>
      </c>
      <c r="F146" t="s">
        <v>94</v>
      </c>
      <c r="G146" t="s">
        <v>64</v>
      </c>
      <c r="H146" t="s">
        <v>65</v>
      </c>
      <c r="I146" t="s">
        <v>24</v>
      </c>
      <c r="J146">
        <v>3</v>
      </c>
      <c r="K146">
        <v>4500</v>
      </c>
      <c r="L146">
        <v>5</v>
      </c>
      <c r="M146">
        <v>12825</v>
      </c>
      <c r="N146">
        <v>9450</v>
      </c>
      <c r="O146">
        <v>3375</v>
      </c>
      <c r="P146" t="s">
        <v>40</v>
      </c>
      <c r="Q146" t="s">
        <v>26</v>
      </c>
      <c r="R146" t="str">
        <f>TEXT(SalesData[[#This Row],[Order Date]],"mmm")</f>
        <v>Oct</v>
      </c>
      <c r="S146" s="2" t="str">
        <f>"Q"&amp;ROUNDUP(MONTH(SalesData[[#This Row],[Order Date]])/3,0)</f>
        <v>Q4</v>
      </c>
      <c r="T146">
        <f>YEAR(SalesData[[#This Row],[Order Date]])</f>
        <v>2025</v>
      </c>
      <c r="U146">
        <f>SalesData[[#This Row],[Profit]]/SalesData[[#This Row],[Sales]]</f>
        <v>0.26315789473684209</v>
      </c>
    </row>
    <row r="147" spans="1:21" x14ac:dyDescent="0.25">
      <c r="A147" t="s">
        <v>349</v>
      </c>
      <c r="B147" s="1">
        <v>45851</v>
      </c>
      <c r="C147" t="s">
        <v>226</v>
      </c>
      <c r="D147" t="s">
        <v>350</v>
      </c>
      <c r="E147" t="s">
        <v>20</v>
      </c>
      <c r="F147" t="s">
        <v>21</v>
      </c>
      <c r="G147" t="s">
        <v>22</v>
      </c>
      <c r="H147" t="s">
        <v>46</v>
      </c>
      <c r="I147" t="s">
        <v>72</v>
      </c>
      <c r="J147">
        <v>2</v>
      </c>
      <c r="K147">
        <v>3500</v>
      </c>
      <c r="L147">
        <v>15</v>
      </c>
      <c r="M147">
        <v>5950</v>
      </c>
      <c r="N147">
        <v>4900</v>
      </c>
      <c r="O147">
        <v>1050</v>
      </c>
      <c r="P147" t="s">
        <v>25</v>
      </c>
      <c r="Q147" t="s">
        <v>26</v>
      </c>
      <c r="R147" t="str">
        <f>TEXT(SalesData[[#This Row],[Order Date]],"mmm")</f>
        <v>Jul</v>
      </c>
      <c r="S147" s="2" t="str">
        <f>"Q"&amp;ROUNDUP(MONTH(SalesData[[#This Row],[Order Date]])/3,0)</f>
        <v>Q3</v>
      </c>
      <c r="T147">
        <f>YEAR(SalesData[[#This Row],[Order Date]])</f>
        <v>2025</v>
      </c>
      <c r="U147">
        <f>SalesData[[#This Row],[Profit]]/SalesData[[#This Row],[Sales]]</f>
        <v>0.17647058823529413</v>
      </c>
    </row>
    <row r="148" spans="1:21" x14ac:dyDescent="0.25">
      <c r="A148" t="s">
        <v>351</v>
      </c>
      <c r="B148" s="1">
        <v>45865</v>
      </c>
      <c r="C148" t="s">
        <v>221</v>
      </c>
      <c r="D148" t="s">
        <v>352</v>
      </c>
      <c r="E148" t="s">
        <v>50</v>
      </c>
      <c r="F148" t="s">
        <v>51</v>
      </c>
      <c r="G148" t="s">
        <v>52</v>
      </c>
      <c r="H148" t="s">
        <v>46</v>
      </c>
      <c r="I148" t="s">
        <v>39</v>
      </c>
      <c r="J148">
        <v>2</v>
      </c>
      <c r="K148">
        <v>3200</v>
      </c>
      <c r="L148">
        <v>20</v>
      </c>
      <c r="M148">
        <v>5120</v>
      </c>
      <c r="N148">
        <v>4480</v>
      </c>
      <c r="O148">
        <v>640</v>
      </c>
      <c r="P148" t="s">
        <v>40</v>
      </c>
      <c r="Q148" t="s">
        <v>26</v>
      </c>
      <c r="R148" t="str">
        <f>TEXT(SalesData[[#This Row],[Order Date]],"mmm")</f>
        <v>Jul</v>
      </c>
      <c r="S148" s="2" t="str">
        <f>"Q"&amp;ROUNDUP(MONTH(SalesData[[#This Row],[Order Date]])/3,0)</f>
        <v>Q3</v>
      </c>
      <c r="T148">
        <f>YEAR(SalesData[[#This Row],[Order Date]])</f>
        <v>2025</v>
      </c>
      <c r="U148">
        <f>SalesData[[#This Row],[Profit]]/SalesData[[#This Row],[Sales]]</f>
        <v>0.125</v>
      </c>
    </row>
    <row r="149" spans="1:21" x14ac:dyDescent="0.25">
      <c r="A149" t="s">
        <v>353</v>
      </c>
      <c r="B149" s="1">
        <v>45832</v>
      </c>
      <c r="C149" t="s">
        <v>150</v>
      </c>
      <c r="D149" t="s">
        <v>350</v>
      </c>
      <c r="E149" t="s">
        <v>70</v>
      </c>
      <c r="F149" t="s">
        <v>71</v>
      </c>
      <c r="G149" t="s">
        <v>22</v>
      </c>
      <c r="H149" t="s">
        <v>46</v>
      </c>
      <c r="I149" t="s">
        <v>72</v>
      </c>
      <c r="J149">
        <v>3</v>
      </c>
      <c r="K149">
        <v>1500</v>
      </c>
      <c r="L149">
        <v>0</v>
      </c>
      <c r="M149">
        <v>4500</v>
      </c>
      <c r="N149">
        <v>3150</v>
      </c>
      <c r="O149">
        <v>1350</v>
      </c>
      <c r="P149" t="s">
        <v>54</v>
      </c>
      <c r="Q149" t="s">
        <v>33</v>
      </c>
      <c r="R149" t="str">
        <f>TEXT(SalesData[[#This Row],[Order Date]],"mmm")</f>
        <v>Jun</v>
      </c>
      <c r="S149" s="2" t="str">
        <f>"Q"&amp;ROUNDUP(MONTH(SalesData[[#This Row],[Order Date]])/3,0)</f>
        <v>Q2</v>
      </c>
      <c r="T149">
        <f>YEAR(SalesData[[#This Row],[Order Date]])</f>
        <v>2025</v>
      </c>
      <c r="U149">
        <f>SalesData[[#This Row],[Profit]]/SalesData[[#This Row],[Sales]]</f>
        <v>0.3</v>
      </c>
    </row>
    <row r="150" spans="1:21" x14ac:dyDescent="0.25">
      <c r="A150" t="s">
        <v>354</v>
      </c>
      <c r="B150" s="1">
        <v>45740</v>
      </c>
      <c r="C150" t="s">
        <v>234</v>
      </c>
      <c r="D150" t="s">
        <v>355</v>
      </c>
      <c r="E150" t="s">
        <v>50</v>
      </c>
      <c r="F150" t="s">
        <v>51</v>
      </c>
      <c r="G150" t="s">
        <v>52</v>
      </c>
      <c r="H150" t="s">
        <v>46</v>
      </c>
      <c r="I150" t="s">
        <v>72</v>
      </c>
      <c r="J150">
        <v>5</v>
      </c>
      <c r="K150">
        <v>3200</v>
      </c>
      <c r="L150">
        <v>15</v>
      </c>
      <c r="M150">
        <v>13600</v>
      </c>
      <c r="N150">
        <v>11200</v>
      </c>
      <c r="O150">
        <v>2400</v>
      </c>
      <c r="P150" t="s">
        <v>40</v>
      </c>
      <c r="Q150" t="s">
        <v>26</v>
      </c>
      <c r="R150" t="str">
        <f>TEXT(SalesData[[#This Row],[Order Date]],"mmm")</f>
        <v>Mar</v>
      </c>
      <c r="S150" s="2" t="str">
        <f>"Q"&amp;ROUNDUP(MONTH(SalesData[[#This Row],[Order Date]])/3,0)</f>
        <v>Q1</v>
      </c>
      <c r="T150">
        <f>YEAR(SalesData[[#This Row],[Order Date]])</f>
        <v>2025</v>
      </c>
      <c r="U150">
        <f>SalesData[[#This Row],[Profit]]/SalesData[[#This Row],[Sales]]</f>
        <v>0.17647058823529413</v>
      </c>
    </row>
    <row r="151" spans="1:21" x14ac:dyDescent="0.25">
      <c r="A151" t="s">
        <v>356</v>
      </c>
      <c r="B151" s="1">
        <v>45723</v>
      </c>
      <c r="C151" t="s">
        <v>190</v>
      </c>
      <c r="D151" t="s">
        <v>69</v>
      </c>
      <c r="E151" t="s">
        <v>70</v>
      </c>
      <c r="F151" t="s">
        <v>71</v>
      </c>
      <c r="G151" t="s">
        <v>22</v>
      </c>
      <c r="H151" t="s">
        <v>46</v>
      </c>
      <c r="I151" t="s">
        <v>66</v>
      </c>
      <c r="J151">
        <v>8</v>
      </c>
      <c r="K151">
        <v>1500</v>
      </c>
      <c r="L151">
        <v>5</v>
      </c>
      <c r="M151">
        <v>11400</v>
      </c>
      <c r="N151">
        <v>8400</v>
      </c>
      <c r="O151">
        <v>3000</v>
      </c>
      <c r="P151" t="s">
        <v>25</v>
      </c>
      <c r="Q151" t="s">
        <v>33</v>
      </c>
      <c r="R151" t="str">
        <f>TEXT(SalesData[[#This Row],[Order Date]],"mmm")</f>
        <v>Mar</v>
      </c>
      <c r="S151" s="2" t="str">
        <f>"Q"&amp;ROUNDUP(MONTH(SalesData[[#This Row],[Order Date]])/3,0)</f>
        <v>Q1</v>
      </c>
      <c r="T151">
        <f>YEAR(SalesData[[#This Row],[Order Date]])</f>
        <v>2025</v>
      </c>
      <c r="U151">
        <f>SalesData[[#This Row],[Profit]]/SalesData[[#This Row],[Sales]]</f>
        <v>0.26315789473684209</v>
      </c>
    </row>
    <row r="152" spans="1:21" x14ac:dyDescent="0.25">
      <c r="A152" t="s">
        <v>357</v>
      </c>
      <c r="B152" s="1">
        <v>45941</v>
      </c>
      <c r="C152" t="s">
        <v>138</v>
      </c>
      <c r="D152" t="s">
        <v>358</v>
      </c>
      <c r="E152" t="s">
        <v>30</v>
      </c>
      <c r="F152" t="s">
        <v>31</v>
      </c>
      <c r="G152" t="s">
        <v>22</v>
      </c>
      <c r="H152" t="s">
        <v>23</v>
      </c>
      <c r="I152" t="s">
        <v>53</v>
      </c>
      <c r="J152">
        <v>4</v>
      </c>
      <c r="K152">
        <v>800</v>
      </c>
      <c r="L152">
        <v>15</v>
      </c>
      <c r="M152">
        <v>2720</v>
      </c>
      <c r="N152">
        <v>2240</v>
      </c>
      <c r="O152">
        <v>480</v>
      </c>
      <c r="P152" t="s">
        <v>54</v>
      </c>
      <c r="Q152" t="s">
        <v>33</v>
      </c>
      <c r="R152" t="str">
        <f>TEXT(SalesData[[#This Row],[Order Date]],"mmm")</f>
        <v>Oct</v>
      </c>
      <c r="S152" s="2" t="str">
        <f>"Q"&amp;ROUNDUP(MONTH(SalesData[[#This Row],[Order Date]])/3,0)</f>
        <v>Q4</v>
      </c>
      <c r="T152">
        <f>YEAR(SalesData[[#This Row],[Order Date]])</f>
        <v>2025</v>
      </c>
      <c r="U152">
        <f>SalesData[[#This Row],[Profit]]/SalesData[[#This Row],[Sales]]</f>
        <v>0.17647058823529413</v>
      </c>
    </row>
    <row r="153" spans="1:21" x14ac:dyDescent="0.25">
      <c r="A153" t="s">
        <v>359</v>
      </c>
      <c r="B153" s="1">
        <v>45731</v>
      </c>
      <c r="C153" t="s">
        <v>360</v>
      </c>
      <c r="D153" t="s">
        <v>153</v>
      </c>
      <c r="E153" t="s">
        <v>70</v>
      </c>
      <c r="F153" t="s">
        <v>71</v>
      </c>
      <c r="G153" t="s">
        <v>22</v>
      </c>
      <c r="H153" t="s">
        <v>65</v>
      </c>
      <c r="I153" t="s">
        <v>80</v>
      </c>
      <c r="J153">
        <v>6</v>
      </c>
      <c r="K153">
        <v>1500</v>
      </c>
      <c r="L153">
        <v>15</v>
      </c>
      <c r="M153">
        <v>7650</v>
      </c>
      <c r="N153">
        <v>6300</v>
      </c>
      <c r="O153">
        <v>1350</v>
      </c>
      <c r="P153" t="s">
        <v>54</v>
      </c>
      <c r="Q153" t="s">
        <v>76</v>
      </c>
      <c r="R153" t="str">
        <f>TEXT(SalesData[[#This Row],[Order Date]],"mmm")</f>
        <v>Mar</v>
      </c>
      <c r="S153" s="2" t="str">
        <f>"Q"&amp;ROUNDUP(MONTH(SalesData[[#This Row],[Order Date]])/3,0)</f>
        <v>Q1</v>
      </c>
      <c r="T153">
        <f>YEAR(SalesData[[#This Row],[Order Date]])</f>
        <v>2025</v>
      </c>
      <c r="U153">
        <f>SalesData[[#This Row],[Profit]]/SalesData[[#This Row],[Sales]]</f>
        <v>0.17647058823529413</v>
      </c>
    </row>
    <row r="154" spans="1:21" x14ac:dyDescent="0.25">
      <c r="A154" t="s">
        <v>361</v>
      </c>
      <c r="B154" s="1">
        <v>45834</v>
      </c>
      <c r="C154" t="s">
        <v>123</v>
      </c>
      <c r="D154" t="s">
        <v>174</v>
      </c>
      <c r="E154" t="s">
        <v>70</v>
      </c>
      <c r="F154" t="s">
        <v>71</v>
      </c>
      <c r="G154" t="s">
        <v>22</v>
      </c>
      <c r="H154" t="s">
        <v>46</v>
      </c>
      <c r="I154" t="s">
        <v>80</v>
      </c>
      <c r="J154">
        <v>4</v>
      </c>
      <c r="K154">
        <v>1500</v>
      </c>
      <c r="L154">
        <v>5</v>
      </c>
      <c r="M154">
        <v>5700</v>
      </c>
      <c r="N154">
        <v>4200</v>
      </c>
      <c r="O154">
        <v>1500</v>
      </c>
      <c r="P154" t="s">
        <v>40</v>
      </c>
      <c r="Q154" t="s">
        <v>33</v>
      </c>
      <c r="R154" t="str">
        <f>TEXT(SalesData[[#This Row],[Order Date]],"mmm")</f>
        <v>Jun</v>
      </c>
      <c r="S154" s="2" t="str">
        <f>"Q"&amp;ROUNDUP(MONTH(SalesData[[#This Row],[Order Date]])/3,0)</f>
        <v>Q2</v>
      </c>
      <c r="T154">
        <f>YEAR(SalesData[[#This Row],[Order Date]])</f>
        <v>2025</v>
      </c>
      <c r="U154">
        <f>SalesData[[#This Row],[Profit]]/SalesData[[#This Row],[Sales]]</f>
        <v>0.26315789473684209</v>
      </c>
    </row>
    <row r="155" spans="1:21" x14ac:dyDescent="0.25">
      <c r="A155" t="s">
        <v>362</v>
      </c>
      <c r="B155" s="1">
        <v>45885</v>
      </c>
      <c r="C155" t="s">
        <v>96</v>
      </c>
      <c r="D155" t="s">
        <v>36</v>
      </c>
      <c r="E155" t="s">
        <v>37</v>
      </c>
      <c r="F155" t="s">
        <v>38</v>
      </c>
      <c r="G155" t="s">
        <v>22</v>
      </c>
      <c r="H155" t="s">
        <v>65</v>
      </c>
      <c r="I155" t="s">
        <v>24</v>
      </c>
      <c r="J155">
        <v>8</v>
      </c>
      <c r="K155">
        <v>55000</v>
      </c>
      <c r="L155">
        <v>20</v>
      </c>
      <c r="M155">
        <v>352000</v>
      </c>
      <c r="N155">
        <v>308000</v>
      </c>
      <c r="O155">
        <v>44000</v>
      </c>
      <c r="P155" t="s">
        <v>40</v>
      </c>
      <c r="Q155" t="s">
        <v>26</v>
      </c>
      <c r="R155" t="str">
        <f>TEXT(SalesData[[#This Row],[Order Date]],"mmm")</f>
        <v>Aug</v>
      </c>
      <c r="S155" s="2" t="str">
        <f>"Q"&amp;ROUNDUP(MONTH(SalesData[[#This Row],[Order Date]])/3,0)</f>
        <v>Q3</v>
      </c>
      <c r="T155">
        <f>YEAR(SalesData[[#This Row],[Order Date]])</f>
        <v>2025</v>
      </c>
      <c r="U155">
        <f>SalesData[[#This Row],[Profit]]/SalesData[[#This Row],[Sales]]</f>
        <v>0.125</v>
      </c>
    </row>
    <row r="156" spans="1:21" x14ac:dyDescent="0.25">
      <c r="A156" t="s">
        <v>363</v>
      </c>
      <c r="B156" s="1">
        <v>45779</v>
      </c>
      <c r="C156" t="s">
        <v>88</v>
      </c>
      <c r="D156" t="s">
        <v>100</v>
      </c>
      <c r="E156" t="s">
        <v>37</v>
      </c>
      <c r="F156" t="s">
        <v>38</v>
      </c>
      <c r="G156" t="s">
        <v>22</v>
      </c>
      <c r="H156" t="s">
        <v>46</v>
      </c>
      <c r="I156" t="s">
        <v>72</v>
      </c>
      <c r="J156">
        <v>10</v>
      </c>
      <c r="K156">
        <v>55000</v>
      </c>
      <c r="L156">
        <v>20</v>
      </c>
      <c r="M156">
        <v>440000</v>
      </c>
      <c r="N156">
        <v>385000</v>
      </c>
      <c r="O156">
        <v>55000</v>
      </c>
      <c r="P156" t="s">
        <v>54</v>
      </c>
      <c r="Q156" t="s">
        <v>33</v>
      </c>
      <c r="R156" t="str">
        <f>TEXT(SalesData[[#This Row],[Order Date]],"mmm")</f>
        <v>May</v>
      </c>
      <c r="S156" s="2" t="str">
        <f>"Q"&amp;ROUNDUP(MONTH(SalesData[[#This Row],[Order Date]])/3,0)</f>
        <v>Q2</v>
      </c>
      <c r="T156">
        <f>YEAR(SalesData[[#This Row],[Order Date]])</f>
        <v>2025</v>
      </c>
      <c r="U156">
        <f>SalesData[[#This Row],[Profit]]/SalesData[[#This Row],[Sales]]</f>
        <v>0.125</v>
      </c>
    </row>
    <row r="157" spans="1:21" x14ac:dyDescent="0.25">
      <c r="A157" t="s">
        <v>364</v>
      </c>
      <c r="B157" s="1">
        <v>45807</v>
      </c>
      <c r="C157" t="s">
        <v>365</v>
      </c>
      <c r="D157" t="s">
        <v>281</v>
      </c>
      <c r="E157" t="s">
        <v>62</v>
      </c>
      <c r="F157" t="s">
        <v>63</v>
      </c>
      <c r="G157" t="s">
        <v>64</v>
      </c>
      <c r="H157" t="s">
        <v>23</v>
      </c>
      <c r="I157" t="s">
        <v>39</v>
      </c>
      <c r="J157">
        <v>8</v>
      </c>
      <c r="K157">
        <v>8500</v>
      </c>
      <c r="L157">
        <v>5</v>
      </c>
      <c r="M157">
        <v>64600</v>
      </c>
      <c r="N157">
        <v>47600</v>
      </c>
      <c r="O157">
        <v>17000</v>
      </c>
      <c r="P157" t="s">
        <v>25</v>
      </c>
      <c r="Q157" t="s">
        <v>26</v>
      </c>
      <c r="R157" t="str">
        <f>TEXT(SalesData[[#This Row],[Order Date]],"mmm")</f>
        <v>May</v>
      </c>
      <c r="S157" s="2" t="str">
        <f>"Q"&amp;ROUNDUP(MONTH(SalesData[[#This Row],[Order Date]])/3,0)</f>
        <v>Q2</v>
      </c>
      <c r="T157">
        <f>YEAR(SalesData[[#This Row],[Order Date]])</f>
        <v>2025</v>
      </c>
      <c r="U157">
        <f>SalesData[[#This Row],[Profit]]/SalesData[[#This Row],[Sales]]</f>
        <v>0.26315789473684209</v>
      </c>
    </row>
    <row r="158" spans="1:21" x14ac:dyDescent="0.25">
      <c r="A158" t="s">
        <v>366</v>
      </c>
      <c r="B158" s="1">
        <v>45981</v>
      </c>
      <c r="C158" t="s">
        <v>367</v>
      </c>
      <c r="D158" t="s">
        <v>116</v>
      </c>
      <c r="E158" t="s">
        <v>37</v>
      </c>
      <c r="F158" t="s">
        <v>38</v>
      </c>
      <c r="G158" t="s">
        <v>22</v>
      </c>
      <c r="H158" t="s">
        <v>46</v>
      </c>
      <c r="I158" t="s">
        <v>72</v>
      </c>
      <c r="J158">
        <v>3</v>
      </c>
      <c r="K158">
        <v>55000</v>
      </c>
      <c r="L158">
        <v>0</v>
      </c>
      <c r="M158">
        <v>165000</v>
      </c>
      <c r="N158">
        <v>115500</v>
      </c>
      <c r="O158">
        <v>49500.000000000007</v>
      </c>
      <c r="P158" t="s">
        <v>54</v>
      </c>
      <c r="Q158" t="s">
        <v>76</v>
      </c>
      <c r="R158" t="str">
        <f>TEXT(SalesData[[#This Row],[Order Date]],"mmm")</f>
        <v>Nov</v>
      </c>
      <c r="S158" s="2" t="str">
        <f>"Q"&amp;ROUNDUP(MONTH(SalesData[[#This Row],[Order Date]])/3,0)</f>
        <v>Q4</v>
      </c>
      <c r="T158">
        <f>YEAR(SalesData[[#This Row],[Order Date]])</f>
        <v>2025</v>
      </c>
      <c r="U158">
        <f>SalesData[[#This Row],[Profit]]/SalesData[[#This Row],[Sales]]</f>
        <v>0.30000000000000004</v>
      </c>
    </row>
    <row r="159" spans="1:21" x14ac:dyDescent="0.25">
      <c r="A159" t="s">
        <v>368</v>
      </c>
      <c r="B159" s="1">
        <v>45843</v>
      </c>
      <c r="C159" t="s">
        <v>123</v>
      </c>
      <c r="D159" t="s">
        <v>179</v>
      </c>
      <c r="E159" t="s">
        <v>37</v>
      </c>
      <c r="F159" t="s">
        <v>38</v>
      </c>
      <c r="G159" t="s">
        <v>22</v>
      </c>
      <c r="H159" t="s">
        <v>65</v>
      </c>
      <c r="I159" t="s">
        <v>24</v>
      </c>
      <c r="J159">
        <v>7</v>
      </c>
      <c r="K159">
        <v>55000</v>
      </c>
      <c r="L159">
        <v>15</v>
      </c>
      <c r="M159">
        <v>327250</v>
      </c>
      <c r="N159">
        <v>269500</v>
      </c>
      <c r="O159">
        <v>57750</v>
      </c>
      <c r="P159" t="s">
        <v>25</v>
      </c>
      <c r="Q159" t="s">
        <v>76</v>
      </c>
      <c r="R159" t="str">
        <f>TEXT(SalesData[[#This Row],[Order Date]],"mmm")</f>
        <v>Jul</v>
      </c>
      <c r="S159" s="2" t="str">
        <f>"Q"&amp;ROUNDUP(MONTH(SalesData[[#This Row],[Order Date]])/3,0)</f>
        <v>Q3</v>
      </c>
      <c r="T159">
        <f>YEAR(SalesData[[#This Row],[Order Date]])</f>
        <v>2025</v>
      </c>
      <c r="U159">
        <f>SalesData[[#This Row],[Profit]]/SalesData[[#This Row],[Sales]]</f>
        <v>0.17647058823529413</v>
      </c>
    </row>
    <row r="160" spans="1:21" x14ac:dyDescent="0.25">
      <c r="A160" t="s">
        <v>369</v>
      </c>
      <c r="B160" s="1">
        <v>45802</v>
      </c>
      <c r="C160" t="s">
        <v>370</v>
      </c>
      <c r="D160" t="s">
        <v>83</v>
      </c>
      <c r="E160" t="s">
        <v>70</v>
      </c>
      <c r="F160" t="s">
        <v>71</v>
      </c>
      <c r="G160" t="s">
        <v>22</v>
      </c>
      <c r="H160" t="s">
        <v>32</v>
      </c>
      <c r="I160" t="s">
        <v>72</v>
      </c>
      <c r="J160">
        <v>6</v>
      </c>
      <c r="K160">
        <v>1500</v>
      </c>
      <c r="L160">
        <v>20</v>
      </c>
      <c r="M160">
        <v>7200</v>
      </c>
      <c r="N160">
        <v>6300</v>
      </c>
      <c r="O160">
        <v>900</v>
      </c>
      <c r="P160" t="s">
        <v>54</v>
      </c>
      <c r="Q160" t="s">
        <v>33</v>
      </c>
      <c r="R160" t="str">
        <f>TEXT(SalesData[[#This Row],[Order Date]],"mmm")</f>
        <v>May</v>
      </c>
      <c r="S160" s="2" t="str">
        <f>"Q"&amp;ROUNDUP(MONTH(SalesData[[#This Row],[Order Date]])/3,0)</f>
        <v>Q2</v>
      </c>
      <c r="T160">
        <f>YEAR(SalesData[[#This Row],[Order Date]])</f>
        <v>2025</v>
      </c>
      <c r="U160">
        <f>SalesData[[#This Row],[Profit]]/SalesData[[#This Row],[Sales]]</f>
        <v>0.125</v>
      </c>
    </row>
    <row r="161" spans="1:21" x14ac:dyDescent="0.25">
      <c r="A161" t="s">
        <v>371</v>
      </c>
      <c r="B161" s="1">
        <v>45856</v>
      </c>
      <c r="C161" t="s">
        <v>203</v>
      </c>
      <c r="D161" t="s">
        <v>169</v>
      </c>
      <c r="E161" t="s">
        <v>37</v>
      </c>
      <c r="F161" t="s">
        <v>38</v>
      </c>
      <c r="G161" t="s">
        <v>22</v>
      </c>
      <c r="H161" t="s">
        <v>23</v>
      </c>
      <c r="I161" t="s">
        <v>80</v>
      </c>
      <c r="J161">
        <v>5</v>
      </c>
      <c r="K161">
        <v>55000</v>
      </c>
      <c r="L161">
        <v>15</v>
      </c>
      <c r="M161">
        <v>233750</v>
      </c>
      <c r="N161">
        <v>192500</v>
      </c>
      <c r="O161">
        <v>41250</v>
      </c>
      <c r="P161" t="s">
        <v>25</v>
      </c>
      <c r="Q161" t="s">
        <v>33</v>
      </c>
      <c r="R161" t="str">
        <f>TEXT(SalesData[[#This Row],[Order Date]],"mmm")</f>
        <v>Jul</v>
      </c>
      <c r="S161" s="2" t="str">
        <f>"Q"&amp;ROUNDUP(MONTH(SalesData[[#This Row],[Order Date]])/3,0)</f>
        <v>Q3</v>
      </c>
      <c r="T161">
        <f>YEAR(SalesData[[#This Row],[Order Date]])</f>
        <v>2025</v>
      </c>
      <c r="U161">
        <f>SalesData[[#This Row],[Profit]]/SalesData[[#This Row],[Sales]]</f>
        <v>0.17647058823529413</v>
      </c>
    </row>
    <row r="162" spans="1:21" x14ac:dyDescent="0.25">
      <c r="A162" t="s">
        <v>372</v>
      </c>
      <c r="B162" s="1">
        <v>45967</v>
      </c>
      <c r="C162" t="s">
        <v>68</v>
      </c>
      <c r="D162" t="s">
        <v>281</v>
      </c>
      <c r="E162" t="s">
        <v>30</v>
      </c>
      <c r="F162" t="s">
        <v>31</v>
      </c>
      <c r="G162" t="s">
        <v>22</v>
      </c>
      <c r="H162" t="s">
        <v>65</v>
      </c>
      <c r="I162" t="s">
        <v>80</v>
      </c>
      <c r="J162">
        <v>8</v>
      </c>
      <c r="K162">
        <v>800</v>
      </c>
      <c r="L162">
        <v>10</v>
      </c>
      <c r="M162">
        <v>5760</v>
      </c>
      <c r="N162">
        <v>4480</v>
      </c>
      <c r="O162">
        <v>1280</v>
      </c>
      <c r="P162" t="s">
        <v>58</v>
      </c>
      <c r="Q162" t="s">
        <v>33</v>
      </c>
      <c r="R162" t="str">
        <f>TEXT(SalesData[[#This Row],[Order Date]],"mmm")</f>
        <v>Nov</v>
      </c>
      <c r="S162" s="2" t="str">
        <f>"Q"&amp;ROUNDUP(MONTH(SalesData[[#This Row],[Order Date]])/3,0)</f>
        <v>Q4</v>
      </c>
      <c r="T162">
        <f>YEAR(SalesData[[#This Row],[Order Date]])</f>
        <v>2025</v>
      </c>
      <c r="U162">
        <f>SalesData[[#This Row],[Profit]]/SalesData[[#This Row],[Sales]]</f>
        <v>0.22222222222222221</v>
      </c>
    </row>
    <row r="163" spans="1:21" x14ac:dyDescent="0.25">
      <c r="A163" t="s">
        <v>373</v>
      </c>
      <c r="B163" s="1">
        <v>45891</v>
      </c>
      <c r="C163" t="s">
        <v>234</v>
      </c>
      <c r="D163" t="s">
        <v>342</v>
      </c>
      <c r="E163" t="s">
        <v>37</v>
      </c>
      <c r="F163" t="s">
        <v>38</v>
      </c>
      <c r="G163" t="s">
        <v>22</v>
      </c>
      <c r="H163" t="s">
        <v>65</v>
      </c>
      <c r="I163" t="s">
        <v>53</v>
      </c>
      <c r="J163">
        <v>2</v>
      </c>
      <c r="K163">
        <v>55000</v>
      </c>
      <c r="L163">
        <v>20</v>
      </c>
      <c r="M163">
        <v>88000</v>
      </c>
      <c r="N163">
        <v>77000</v>
      </c>
      <c r="O163">
        <v>11000</v>
      </c>
      <c r="P163" t="s">
        <v>40</v>
      </c>
      <c r="Q163" t="s">
        <v>26</v>
      </c>
      <c r="R163" t="str">
        <f>TEXT(SalesData[[#This Row],[Order Date]],"mmm")</f>
        <v>Aug</v>
      </c>
      <c r="S163" s="2" t="str">
        <f>"Q"&amp;ROUNDUP(MONTH(SalesData[[#This Row],[Order Date]])/3,0)</f>
        <v>Q3</v>
      </c>
      <c r="T163">
        <f>YEAR(SalesData[[#This Row],[Order Date]])</f>
        <v>2025</v>
      </c>
      <c r="U163">
        <f>SalesData[[#This Row],[Profit]]/SalesData[[#This Row],[Sales]]</f>
        <v>0.125</v>
      </c>
    </row>
    <row r="164" spans="1:21" x14ac:dyDescent="0.25">
      <c r="A164" t="s">
        <v>374</v>
      </c>
      <c r="B164" s="1">
        <v>45872</v>
      </c>
      <c r="C164" t="s">
        <v>121</v>
      </c>
      <c r="D164" t="s">
        <v>169</v>
      </c>
      <c r="E164" t="s">
        <v>37</v>
      </c>
      <c r="F164" t="s">
        <v>38</v>
      </c>
      <c r="G164" t="s">
        <v>22</v>
      </c>
      <c r="H164" t="s">
        <v>46</v>
      </c>
      <c r="I164" t="s">
        <v>66</v>
      </c>
      <c r="J164">
        <v>8</v>
      </c>
      <c r="K164">
        <v>55000</v>
      </c>
      <c r="L164">
        <v>20</v>
      </c>
      <c r="M164">
        <v>352000</v>
      </c>
      <c r="N164">
        <v>308000</v>
      </c>
      <c r="O164">
        <v>44000</v>
      </c>
      <c r="P164" t="s">
        <v>54</v>
      </c>
      <c r="Q164" t="s">
        <v>76</v>
      </c>
      <c r="R164" t="str">
        <f>TEXT(SalesData[[#This Row],[Order Date]],"mmm")</f>
        <v>Aug</v>
      </c>
      <c r="S164" s="2" t="str">
        <f>"Q"&amp;ROUNDUP(MONTH(SalesData[[#This Row],[Order Date]])/3,0)</f>
        <v>Q3</v>
      </c>
      <c r="T164">
        <f>YEAR(SalesData[[#This Row],[Order Date]])</f>
        <v>2025</v>
      </c>
      <c r="U164">
        <f>SalesData[[#This Row],[Profit]]/SalesData[[#This Row],[Sales]]</f>
        <v>0.125</v>
      </c>
    </row>
    <row r="165" spans="1:21" x14ac:dyDescent="0.25">
      <c r="A165" t="s">
        <v>375</v>
      </c>
      <c r="B165" s="1">
        <v>45997</v>
      </c>
      <c r="C165" t="s">
        <v>376</v>
      </c>
      <c r="D165" t="s">
        <v>377</v>
      </c>
      <c r="E165" t="s">
        <v>93</v>
      </c>
      <c r="F165" t="s">
        <v>94</v>
      </c>
      <c r="G165" t="s">
        <v>64</v>
      </c>
      <c r="H165" t="s">
        <v>46</v>
      </c>
      <c r="I165" t="s">
        <v>66</v>
      </c>
      <c r="J165">
        <v>5</v>
      </c>
      <c r="K165">
        <v>4500</v>
      </c>
      <c r="L165">
        <v>10</v>
      </c>
      <c r="M165">
        <v>20250</v>
      </c>
      <c r="N165">
        <v>15750</v>
      </c>
      <c r="O165">
        <v>4500.0000000000018</v>
      </c>
      <c r="P165" t="s">
        <v>25</v>
      </c>
      <c r="Q165" t="s">
        <v>76</v>
      </c>
      <c r="R165" t="str">
        <f>TEXT(SalesData[[#This Row],[Order Date]],"mmm")</f>
        <v>Dec</v>
      </c>
      <c r="S165" s="2" t="str">
        <f>"Q"&amp;ROUNDUP(MONTH(SalesData[[#This Row],[Order Date]])/3,0)</f>
        <v>Q4</v>
      </c>
      <c r="T165">
        <f>YEAR(SalesData[[#This Row],[Order Date]])</f>
        <v>2025</v>
      </c>
      <c r="U165">
        <f>SalesData[[#This Row],[Profit]]/SalesData[[#This Row],[Sales]]</f>
        <v>0.22222222222222232</v>
      </c>
    </row>
    <row r="166" spans="1:21" x14ac:dyDescent="0.25">
      <c r="A166" t="s">
        <v>378</v>
      </c>
      <c r="B166" s="1">
        <v>45696</v>
      </c>
      <c r="C166" t="s">
        <v>88</v>
      </c>
      <c r="D166" t="s">
        <v>355</v>
      </c>
      <c r="E166" t="s">
        <v>20</v>
      </c>
      <c r="F166" t="s">
        <v>21</v>
      </c>
      <c r="G166" t="s">
        <v>22</v>
      </c>
      <c r="H166" t="s">
        <v>23</v>
      </c>
      <c r="I166" t="s">
        <v>66</v>
      </c>
      <c r="J166">
        <v>7</v>
      </c>
      <c r="K166">
        <v>3500</v>
      </c>
      <c r="L166">
        <v>0</v>
      </c>
      <c r="M166">
        <v>24500</v>
      </c>
      <c r="N166">
        <v>17150</v>
      </c>
      <c r="O166">
        <v>7350</v>
      </c>
      <c r="P166" t="s">
        <v>25</v>
      </c>
      <c r="Q166" t="s">
        <v>76</v>
      </c>
      <c r="R166" t="str">
        <f>TEXT(SalesData[[#This Row],[Order Date]],"mmm")</f>
        <v>Feb</v>
      </c>
      <c r="S166" s="2" t="str">
        <f>"Q"&amp;ROUNDUP(MONTH(SalesData[[#This Row],[Order Date]])/3,0)</f>
        <v>Q1</v>
      </c>
      <c r="T166">
        <f>YEAR(SalesData[[#This Row],[Order Date]])</f>
        <v>2025</v>
      </c>
      <c r="U166">
        <f>SalesData[[#This Row],[Profit]]/SalesData[[#This Row],[Sales]]</f>
        <v>0.3</v>
      </c>
    </row>
    <row r="167" spans="1:21" x14ac:dyDescent="0.25">
      <c r="A167" t="s">
        <v>379</v>
      </c>
      <c r="B167" s="1">
        <v>45677</v>
      </c>
      <c r="C167" t="s">
        <v>112</v>
      </c>
      <c r="D167" t="s">
        <v>69</v>
      </c>
      <c r="E167" t="s">
        <v>93</v>
      </c>
      <c r="F167" t="s">
        <v>94</v>
      </c>
      <c r="G167" t="s">
        <v>64</v>
      </c>
      <c r="H167" t="s">
        <v>32</v>
      </c>
      <c r="I167" t="s">
        <v>66</v>
      </c>
      <c r="J167">
        <v>9</v>
      </c>
      <c r="K167">
        <v>4500</v>
      </c>
      <c r="L167">
        <v>15</v>
      </c>
      <c r="M167">
        <v>34425</v>
      </c>
      <c r="N167">
        <v>28350</v>
      </c>
      <c r="O167">
        <v>6075</v>
      </c>
      <c r="P167" t="s">
        <v>58</v>
      </c>
      <c r="Q167" t="s">
        <v>33</v>
      </c>
      <c r="R167" t="str">
        <f>TEXT(SalesData[[#This Row],[Order Date]],"mmm")</f>
        <v>Jan</v>
      </c>
      <c r="S167" s="2" t="str">
        <f>"Q"&amp;ROUNDUP(MONTH(SalesData[[#This Row],[Order Date]])/3,0)</f>
        <v>Q1</v>
      </c>
      <c r="T167">
        <f>YEAR(SalesData[[#This Row],[Order Date]])</f>
        <v>2025</v>
      </c>
      <c r="U167">
        <f>SalesData[[#This Row],[Profit]]/SalesData[[#This Row],[Sales]]</f>
        <v>0.17647058823529413</v>
      </c>
    </row>
    <row r="168" spans="1:21" x14ac:dyDescent="0.25">
      <c r="A168" t="s">
        <v>380</v>
      </c>
      <c r="B168" s="1">
        <v>45734</v>
      </c>
      <c r="C168" t="s">
        <v>381</v>
      </c>
      <c r="D168" t="s">
        <v>171</v>
      </c>
      <c r="E168" t="s">
        <v>93</v>
      </c>
      <c r="F168" t="s">
        <v>94</v>
      </c>
      <c r="G168" t="s">
        <v>64</v>
      </c>
      <c r="H168" t="s">
        <v>46</v>
      </c>
      <c r="I168" t="s">
        <v>39</v>
      </c>
      <c r="J168">
        <v>10</v>
      </c>
      <c r="K168">
        <v>4500</v>
      </c>
      <c r="L168">
        <v>0</v>
      </c>
      <c r="M168">
        <v>45000</v>
      </c>
      <c r="N168">
        <v>31500</v>
      </c>
      <c r="O168">
        <v>13500</v>
      </c>
      <c r="P168" t="s">
        <v>40</v>
      </c>
      <c r="Q168" t="s">
        <v>33</v>
      </c>
      <c r="R168" t="str">
        <f>TEXT(SalesData[[#This Row],[Order Date]],"mmm")</f>
        <v>Mar</v>
      </c>
      <c r="S168" s="2" t="str">
        <f>"Q"&amp;ROUNDUP(MONTH(SalesData[[#This Row],[Order Date]])/3,0)</f>
        <v>Q1</v>
      </c>
      <c r="T168">
        <f>YEAR(SalesData[[#This Row],[Order Date]])</f>
        <v>2025</v>
      </c>
      <c r="U168">
        <f>SalesData[[#This Row],[Profit]]/SalesData[[#This Row],[Sales]]</f>
        <v>0.3</v>
      </c>
    </row>
    <row r="169" spans="1:21" x14ac:dyDescent="0.25">
      <c r="A169" t="s">
        <v>382</v>
      </c>
      <c r="B169" s="1">
        <v>46012</v>
      </c>
      <c r="C169" t="s">
        <v>157</v>
      </c>
      <c r="D169" t="s">
        <v>100</v>
      </c>
      <c r="E169" t="s">
        <v>37</v>
      </c>
      <c r="F169" t="s">
        <v>38</v>
      </c>
      <c r="G169" t="s">
        <v>22</v>
      </c>
      <c r="H169" t="s">
        <v>23</v>
      </c>
      <c r="I169" t="s">
        <v>80</v>
      </c>
      <c r="J169">
        <v>10</v>
      </c>
      <c r="K169">
        <v>55000</v>
      </c>
      <c r="L169">
        <v>15</v>
      </c>
      <c r="M169">
        <v>467500</v>
      </c>
      <c r="N169">
        <v>385000</v>
      </c>
      <c r="O169">
        <v>82500</v>
      </c>
      <c r="P169" t="s">
        <v>58</v>
      </c>
      <c r="Q169" t="s">
        <v>33</v>
      </c>
      <c r="R169" t="str">
        <f>TEXT(SalesData[[#This Row],[Order Date]],"mmm")</f>
        <v>Dec</v>
      </c>
      <c r="S169" s="2" t="str">
        <f>"Q"&amp;ROUNDUP(MONTH(SalesData[[#This Row],[Order Date]])/3,0)</f>
        <v>Q4</v>
      </c>
      <c r="T169">
        <f>YEAR(SalesData[[#This Row],[Order Date]])</f>
        <v>2025</v>
      </c>
      <c r="U169">
        <f>SalesData[[#This Row],[Profit]]/SalesData[[#This Row],[Sales]]</f>
        <v>0.17647058823529413</v>
      </c>
    </row>
    <row r="170" spans="1:21" x14ac:dyDescent="0.25">
      <c r="A170" t="s">
        <v>383</v>
      </c>
      <c r="B170" s="1">
        <v>45674</v>
      </c>
      <c r="C170" t="s">
        <v>302</v>
      </c>
      <c r="D170" t="s">
        <v>57</v>
      </c>
      <c r="E170" t="s">
        <v>70</v>
      </c>
      <c r="F170" t="s">
        <v>71</v>
      </c>
      <c r="G170" t="s">
        <v>22</v>
      </c>
      <c r="H170" t="s">
        <v>65</v>
      </c>
      <c r="I170" t="s">
        <v>66</v>
      </c>
      <c r="J170">
        <v>9</v>
      </c>
      <c r="K170">
        <v>1500</v>
      </c>
      <c r="L170">
        <v>15</v>
      </c>
      <c r="M170">
        <v>11475</v>
      </c>
      <c r="N170">
        <v>9450</v>
      </c>
      <c r="O170">
        <v>2025</v>
      </c>
      <c r="P170" t="s">
        <v>58</v>
      </c>
      <c r="Q170" t="s">
        <v>26</v>
      </c>
      <c r="R170" t="str">
        <f>TEXT(SalesData[[#This Row],[Order Date]],"mmm")</f>
        <v>Jan</v>
      </c>
      <c r="S170" s="2" t="str">
        <f>"Q"&amp;ROUNDUP(MONTH(SalesData[[#This Row],[Order Date]])/3,0)</f>
        <v>Q1</v>
      </c>
      <c r="T170">
        <f>YEAR(SalesData[[#This Row],[Order Date]])</f>
        <v>2025</v>
      </c>
      <c r="U170">
        <f>SalesData[[#This Row],[Profit]]/SalesData[[#This Row],[Sales]]</f>
        <v>0.17647058823529413</v>
      </c>
    </row>
    <row r="171" spans="1:21" x14ac:dyDescent="0.25">
      <c r="A171" t="s">
        <v>384</v>
      </c>
      <c r="B171" s="1">
        <v>45755</v>
      </c>
      <c r="C171" t="s">
        <v>48</v>
      </c>
      <c r="D171" t="s">
        <v>358</v>
      </c>
      <c r="E171" t="s">
        <v>93</v>
      </c>
      <c r="F171" t="s">
        <v>94</v>
      </c>
      <c r="G171" t="s">
        <v>64</v>
      </c>
      <c r="H171" t="s">
        <v>32</v>
      </c>
      <c r="I171" t="s">
        <v>53</v>
      </c>
      <c r="J171">
        <v>9</v>
      </c>
      <c r="K171">
        <v>4500</v>
      </c>
      <c r="L171">
        <v>10</v>
      </c>
      <c r="M171">
        <v>36450</v>
      </c>
      <c r="N171">
        <v>28350</v>
      </c>
      <c r="O171">
        <v>8100</v>
      </c>
      <c r="P171" t="s">
        <v>40</v>
      </c>
      <c r="Q171" t="s">
        <v>33</v>
      </c>
      <c r="R171" t="str">
        <f>TEXT(SalesData[[#This Row],[Order Date]],"mmm")</f>
        <v>Apr</v>
      </c>
      <c r="S171" s="2" t="str">
        <f>"Q"&amp;ROUNDUP(MONTH(SalesData[[#This Row],[Order Date]])/3,0)</f>
        <v>Q2</v>
      </c>
      <c r="T171">
        <f>YEAR(SalesData[[#This Row],[Order Date]])</f>
        <v>2025</v>
      </c>
      <c r="U171">
        <f>SalesData[[#This Row],[Profit]]/SalesData[[#This Row],[Sales]]</f>
        <v>0.22222222222222221</v>
      </c>
    </row>
    <row r="172" spans="1:21" x14ac:dyDescent="0.25">
      <c r="A172" t="s">
        <v>385</v>
      </c>
      <c r="B172" s="1">
        <v>45905</v>
      </c>
      <c r="C172" t="s">
        <v>283</v>
      </c>
      <c r="D172" t="s">
        <v>340</v>
      </c>
      <c r="E172" t="s">
        <v>62</v>
      </c>
      <c r="F172" t="s">
        <v>63</v>
      </c>
      <c r="G172" t="s">
        <v>64</v>
      </c>
      <c r="H172" t="s">
        <v>32</v>
      </c>
      <c r="I172" t="s">
        <v>72</v>
      </c>
      <c r="J172">
        <v>2</v>
      </c>
      <c r="K172">
        <v>8500</v>
      </c>
      <c r="L172">
        <v>20</v>
      </c>
      <c r="M172">
        <v>13600</v>
      </c>
      <c r="N172">
        <v>11900</v>
      </c>
      <c r="O172">
        <v>1700</v>
      </c>
      <c r="P172" t="s">
        <v>54</v>
      </c>
      <c r="Q172" t="s">
        <v>26</v>
      </c>
      <c r="R172" t="str">
        <f>TEXT(SalesData[[#This Row],[Order Date]],"mmm")</f>
        <v>Sep</v>
      </c>
      <c r="S172" s="2" t="str">
        <f>"Q"&amp;ROUNDUP(MONTH(SalesData[[#This Row],[Order Date]])/3,0)</f>
        <v>Q3</v>
      </c>
      <c r="T172">
        <f>YEAR(SalesData[[#This Row],[Order Date]])</f>
        <v>2025</v>
      </c>
      <c r="U172">
        <f>SalesData[[#This Row],[Profit]]/SalesData[[#This Row],[Sales]]</f>
        <v>0.125</v>
      </c>
    </row>
    <row r="173" spans="1:21" x14ac:dyDescent="0.25">
      <c r="A173" t="s">
        <v>386</v>
      </c>
      <c r="B173" s="1">
        <v>45823</v>
      </c>
      <c r="C173" t="s">
        <v>132</v>
      </c>
      <c r="D173" t="s">
        <v>355</v>
      </c>
      <c r="E173" t="s">
        <v>20</v>
      </c>
      <c r="F173" t="s">
        <v>21</v>
      </c>
      <c r="G173" t="s">
        <v>22</v>
      </c>
      <c r="H173" t="s">
        <v>46</v>
      </c>
      <c r="I173" t="s">
        <v>24</v>
      </c>
      <c r="J173">
        <v>8</v>
      </c>
      <c r="K173">
        <v>3500</v>
      </c>
      <c r="L173">
        <v>10</v>
      </c>
      <c r="M173">
        <v>25200</v>
      </c>
      <c r="N173">
        <v>19600</v>
      </c>
      <c r="O173">
        <v>5600</v>
      </c>
      <c r="P173" t="s">
        <v>40</v>
      </c>
      <c r="Q173" t="s">
        <v>76</v>
      </c>
      <c r="R173" t="str">
        <f>TEXT(SalesData[[#This Row],[Order Date]],"mmm")</f>
        <v>Jun</v>
      </c>
      <c r="S173" s="2" t="str">
        <f>"Q"&amp;ROUNDUP(MONTH(SalesData[[#This Row],[Order Date]])/3,0)</f>
        <v>Q2</v>
      </c>
      <c r="T173">
        <f>YEAR(SalesData[[#This Row],[Order Date]])</f>
        <v>2025</v>
      </c>
      <c r="U173">
        <f>SalesData[[#This Row],[Profit]]/SalesData[[#This Row],[Sales]]</f>
        <v>0.22222222222222221</v>
      </c>
    </row>
    <row r="174" spans="1:21" x14ac:dyDescent="0.25">
      <c r="A174" t="s">
        <v>387</v>
      </c>
      <c r="B174" s="1">
        <v>45928</v>
      </c>
      <c r="C174" t="s">
        <v>229</v>
      </c>
      <c r="D174" t="s">
        <v>209</v>
      </c>
      <c r="E174" t="s">
        <v>62</v>
      </c>
      <c r="F174" t="s">
        <v>63</v>
      </c>
      <c r="G174" t="s">
        <v>64</v>
      </c>
      <c r="H174" t="s">
        <v>46</v>
      </c>
      <c r="I174" t="s">
        <v>72</v>
      </c>
      <c r="J174">
        <v>4</v>
      </c>
      <c r="K174">
        <v>8500</v>
      </c>
      <c r="L174">
        <v>15</v>
      </c>
      <c r="M174">
        <v>28900</v>
      </c>
      <c r="N174">
        <v>23800</v>
      </c>
      <c r="O174">
        <v>5100</v>
      </c>
      <c r="P174" t="s">
        <v>25</v>
      </c>
      <c r="Q174" t="s">
        <v>26</v>
      </c>
      <c r="R174" t="str">
        <f>TEXT(SalesData[[#This Row],[Order Date]],"mmm")</f>
        <v>Sep</v>
      </c>
      <c r="S174" s="2" t="str">
        <f>"Q"&amp;ROUNDUP(MONTH(SalesData[[#This Row],[Order Date]])/3,0)</f>
        <v>Q3</v>
      </c>
      <c r="T174">
        <f>YEAR(SalesData[[#This Row],[Order Date]])</f>
        <v>2025</v>
      </c>
      <c r="U174">
        <f>SalesData[[#This Row],[Profit]]/SalesData[[#This Row],[Sales]]</f>
        <v>0.17647058823529413</v>
      </c>
    </row>
    <row r="175" spans="1:21" x14ac:dyDescent="0.25">
      <c r="A175" t="s">
        <v>388</v>
      </c>
      <c r="B175" s="1">
        <v>46009</v>
      </c>
      <c r="C175" t="s">
        <v>203</v>
      </c>
      <c r="D175" t="s">
        <v>389</v>
      </c>
      <c r="E175" t="s">
        <v>37</v>
      </c>
      <c r="F175" t="s">
        <v>38</v>
      </c>
      <c r="G175" t="s">
        <v>22</v>
      </c>
      <c r="H175" t="s">
        <v>65</v>
      </c>
      <c r="I175" t="s">
        <v>80</v>
      </c>
      <c r="J175">
        <v>2</v>
      </c>
      <c r="K175">
        <v>55000</v>
      </c>
      <c r="L175">
        <v>0</v>
      </c>
      <c r="M175">
        <v>110000</v>
      </c>
      <c r="N175">
        <v>77000</v>
      </c>
      <c r="O175">
        <v>33000</v>
      </c>
      <c r="P175" t="s">
        <v>25</v>
      </c>
      <c r="Q175" t="s">
        <v>26</v>
      </c>
      <c r="R175" t="str">
        <f>TEXT(SalesData[[#This Row],[Order Date]],"mmm")</f>
        <v>Dec</v>
      </c>
      <c r="S175" s="2" t="str">
        <f>"Q"&amp;ROUNDUP(MONTH(SalesData[[#This Row],[Order Date]])/3,0)</f>
        <v>Q4</v>
      </c>
      <c r="T175">
        <f>YEAR(SalesData[[#This Row],[Order Date]])</f>
        <v>2025</v>
      </c>
      <c r="U175">
        <f>SalesData[[#This Row],[Profit]]/SalesData[[#This Row],[Sales]]</f>
        <v>0.3</v>
      </c>
    </row>
    <row r="176" spans="1:21" x14ac:dyDescent="0.25">
      <c r="A176" t="s">
        <v>390</v>
      </c>
      <c r="B176" s="1">
        <v>45937</v>
      </c>
      <c r="C176" t="s">
        <v>246</v>
      </c>
      <c r="D176" t="s">
        <v>391</v>
      </c>
      <c r="E176" t="s">
        <v>44</v>
      </c>
      <c r="F176" t="s">
        <v>45</v>
      </c>
      <c r="G176" t="s">
        <v>22</v>
      </c>
      <c r="H176" t="s">
        <v>65</v>
      </c>
      <c r="I176" t="s">
        <v>53</v>
      </c>
      <c r="J176">
        <v>6</v>
      </c>
      <c r="K176">
        <v>9500</v>
      </c>
      <c r="L176">
        <v>15</v>
      </c>
      <c r="M176">
        <v>48450</v>
      </c>
      <c r="N176">
        <v>39900</v>
      </c>
      <c r="O176">
        <v>8550</v>
      </c>
      <c r="P176" t="s">
        <v>40</v>
      </c>
      <c r="Q176" t="s">
        <v>33</v>
      </c>
      <c r="R176" t="str">
        <f>TEXT(SalesData[[#This Row],[Order Date]],"mmm")</f>
        <v>Oct</v>
      </c>
      <c r="S176" s="2" t="str">
        <f>"Q"&amp;ROUNDUP(MONTH(SalesData[[#This Row],[Order Date]])/3,0)</f>
        <v>Q4</v>
      </c>
      <c r="T176">
        <f>YEAR(SalesData[[#This Row],[Order Date]])</f>
        <v>2025</v>
      </c>
      <c r="U176">
        <f>SalesData[[#This Row],[Profit]]/SalesData[[#This Row],[Sales]]</f>
        <v>0.17647058823529413</v>
      </c>
    </row>
    <row r="177" spans="1:21" x14ac:dyDescent="0.25">
      <c r="A177" t="s">
        <v>392</v>
      </c>
      <c r="B177" s="1">
        <v>45709</v>
      </c>
      <c r="C177" t="s">
        <v>216</v>
      </c>
      <c r="D177" t="s">
        <v>183</v>
      </c>
      <c r="E177" t="s">
        <v>37</v>
      </c>
      <c r="F177" t="s">
        <v>38</v>
      </c>
      <c r="G177" t="s">
        <v>22</v>
      </c>
      <c r="H177" t="s">
        <v>65</v>
      </c>
      <c r="I177" t="s">
        <v>53</v>
      </c>
      <c r="J177">
        <v>4</v>
      </c>
      <c r="K177">
        <v>55000</v>
      </c>
      <c r="L177">
        <v>0</v>
      </c>
      <c r="M177">
        <v>220000</v>
      </c>
      <c r="N177">
        <v>154000</v>
      </c>
      <c r="O177">
        <v>66000</v>
      </c>
      <c r="P177" t="s">
        <v>25</v>
      </c>
      <c r="Q177" t="s">
        <v>26</v>
      </c>
      <c r="R177" t="str">
        <f>TEXT(SalesData[[#This Row],[Order Date]],"mmm")</f>
        <v>Feb</v>
      </c>
      <c r="S177" s="2" t="str">
        <f>"Q"&amp;ROUNDUP(MONTH(SalesData[[#This Row],[Order Date]])/3,0)</f>
        <v>Q1</v>
      </c>
      <c r="T177">
        <f>YEAR(SalesData[[#This Row],[Order Date]])</f>
        <v>2025</v>
      </c>
      <c r="U177">
        <f>SalesData[[#This Row],[Profit]]/SalesData[[#This Row],[Sales]]</f>
        <v>0.3</v>
      </c>
    </row>
    <row r="178" spans="1:21" x14ac:dyDescent="0.25">
      <c r="A178" t="s">
        <v>393</v>
      </c>
      <c r="B178" s="1">
        <v>45688</v>
      </c>
      <c r="C178" t="s">
        <v>91</v>
      </c>
      <c r="D178" t="s">
        <v>394</v>
      </c>
      <c r="E178" t="s">
        <v>62</v>
      </c>
      <c r="F178" t="s">
        <v>63</v>
      </c>
      <c r="G178" t="s">
        <v>64</v>
      </c>
      <c r="H178" t="s">
        <v>32</v>
      </c>
      <c r="I178" t="s">
        <v>24</v>
      </c>
      <c r="J178">
        <v>2</v>
      </c>
      <c r="K178">
        <v>8500</v>
      </c>
      <c r="L178">
        <v>10</v>
      </c>
      <c r="M178">
        <v>15300</v>
      </c>
      <c r="N178">
        <v>11900</v>
      </c>
      <c r="O178">
        <v>3400</v>
      </c>
      <c r="P178" t="s">
        <v>40</v>
      </c>
      <c r="Q178" t="s">
        <v>33</v>
      </c>
      <c r="R178" t="str">
        <f>TEXT(SalesData[[#This Row],[Order Date]],"mmm")</f>
        <v>Jan</v>
      </c>
      <c r="S178" s="2" t="str">
        <f>"Q"&amp;ROUNDUP(MONTH(SalesData[[#This Row],[Order Date]])/3,0)</f>
        <v>Q1</v>
      </c>
      <c r="T178">
        <f>YEAR(SalesData[[#This Row],[Order Date]])</f>
        <v>2025</v>
      </c>
      <c r="U178">
        <f>SalesData[[#This Row],[Profit]]/SalesData[[#This Row],[Sales]]</f>
        <v>0.22222222222222221</v>
      </c>
    </row>
    <row r="179" spans="1:21" x14ac:dyDescent="0.25">
      <c r="A179" t="s">
        <v>395</v>
      </c>
      <c r="B179" s="1">
        <v>45805</v>
      </c>
      <c r="C179" t="s">
        <v>283</v>
      </c>
      <c r="D179" t="s">
        <v>61</v>
      </c>
      <c r="E179" t="s">
        <v>44</v>
      </c>
      <c r="F179" t="s">
        <v>45</v>
      </c>
      <c r="G179" t="s">
        <v>22</v>
      </c>
      <c r="H179" t="s">
        <v>32</v>
      </c>
      <c r="I179" t="s">
        <v>66</v>
      </c>
      <c r="J179">
        <v>4</v>
      </c>
      <c r="K179">
        <v>9500</v>
      </c>
      <c r="L179">
        <v>10</v>
      </c>
      <c r="M179">
        <v>34200</v>
      </c>
      <c r="N179">
        <v>26600</v>
      </c>
      <c r="O179">
        <v>7600</v>
      </c>
      <c r="P179" t="s">
        <v>40</v>
      </c>
      <c r="Q179" t="s">
        <v>26</v>
      </c>
      <c r="R179" t="str">
        <f>TEXT(SalesData[[#This Row],[Order Date]],"mmm")</f>
        <v>May</v>
      </c>
      <c r="S179" s="2" t="str">
        <f>"Q"&amp;ROUNDUP(MONTH(SalesData[[#This Row],[Order Date]])/3,0)</f>
        <v>Q2</v>
      </c>
      <c r="T179">
        <f>YEAR(SalesData[[#This Row],[Order Date]])</f>
        <v>2025</v>
      </c>
      <c r="U179">
        <f>SalesData[[#This Row],[Profit]]/SalesData[[#This Row],[Sales]]</f>
        <v>0.22222222222222221</v>
      </c>
    </row>
    <row r="180" spans="1:21" x14ac:dyDescent="0.25">
      <c r="A180" t="s">
        <v>396</v>
      </c>
      <c r="B180" s="1">
        <v>45967</v>
      </c>
      <c r="C180" t="s">
        <v>360</v>
      </c>
      <c r="D180" t="s">
        <v>391</v>
      </c>
      <c r="E180" t="s">
        <v>37</v>
      </c>
      <c r="F180" t="s">
        <v>38</v>
      </c>
      <c r="G180" t="s">
        <v>22</v>
      </c>
      <c r="H180" t="s">
        <v>46</v>
      </c>
      <c r="I180" t="s">
        <v>72</v>
      </c>
      <c r="J180">
        <v>10</v>
      </c>
      <c r="K180">
        <v>55000</v>
      </c>
      <c r="L180">
        <v>5</v>
      </c>
      <c r="M180">
        <v>522500</v>
      </c>
      <c r="N180">
        <v>385000</v>
      </c>
      <c r="O180">
        <v>137500</v>
      </c>
      <c r="P180" t="s">
        <v>40</v>
      </c>
      <c r="Q180" t="s">
        <v>33</v>
      </c>
      <c r="R180" t="str">
        <f>TEXT(SalesData[[#This Row],[Order Date]],"mmm")</f>
        <v>Nov</v>
      </c>
      <c r="S180" s="2" t="str">
        <f>"Q"&amp;ROUNDUP(MONTH(SalesData[[#This Row],[Order Date]])/3,0)</f>
        <v>Q4</v>
      </c>
      <c r="T180">
        <f>YEAR(SalesData[[#This Row],[Order Date]])</f>
        <v>2025</v>
      </c>
      <c r="U180">
        <f>SalesData[[#This Row],[Profit]]/SalesData[[#This Row],[Sales]]</f>
        <v>0.26315789473684209</v>
      </c>
    </row>
    <row r="181" spans="1:21" x14ac:dyDescent="0.25">
      <c r="A181" t="s">
        <v>397</v>
      </c>
      <c r="B181" s="1">
        <v>45857</v>
      </c>
      <c r="C181" t="s">
        <v>360</v>
      </c>
      <c r="D181" t="s">
        <v>247</v>
      </c>
      <c r="E181" t="s">
        <v>30</v>
      </c>
      <c r="F181" t="s">
        <v>31</v>
      </c>
      <c r="G181" t="s">
        <v>22</v>
      </c>
      <c r="H181" t="s">
        <v>46</v>
      </c>
      <c r="I181" t="s">
        <v>80</v>
      </c>
      <c r="J181">
        <v>10</v>
      </c>
      <c r="K181">
        <v>800</v>
      </c>
      <c r="L181">
        <v>0</v>
      </c>
      <c r="M181">
        <v>8000</v>
      </c>
      <c r="N181">
        <v>5600</v>
      </c>
      <c r="O181">
        <v>2400</v>
      </c>
      <c r="P181" t="s">
        <v>25</v>
      </c>
      <c r="Q181" t="s">
        <v>33</v>
      </c>
      <c r="R181" t="str">
        <f>TEXT(SalesData[[#This Row],[Order Date]],"mmm")</f>
        <v>Jul</v>
      </c>
      <c r="S181" s="2" t="str">
        <f>"Q"&amp;ROUNDUP(MONTH(SalesData[[#This Row],[Order Date]])/3,0)</f>
        <v>Q3</v>
      </c>
      <c r="T181">
        <f>YEAR(SalesData[[#This Row],[Order Date]])</f>
        <v>2025</v>
      </c>
      <c r="U181">
        <f>SalesData[[#This Row],[Profit]]/SalesData[[#This Row],[Sales]]</f>
        <v>0.3</v>
      </c>
    </row>
    <row r="182" spans="1:21" x14ac:dyDescent="0.25">
      <c r="A182" t="s">
        <v>398</v>
      </c>
      <c r="B182" s="1">
        <v>45734</v>
      </c>
      <c r="C182" t="s">
        <v>246</v>
      </c>
      <c r="D182" t="s">
        <v>258</v>
      </c>
      <c r="E182" t="s">
        <v>20</v>
      </c>
      <c r="F182" t="s">
        <v>21</v>
      </c>
      <c r="G182" t="s">
        <v>22</v>
      </c>
      <c r="H182" t="s">
        <v>23</v>
      </c>
      <c r="I182" t="s">
        <v>24</v>
      </c>
      <c r="J182">
        <v>2</v>
      </c>
      <c r="K182">
        <v>3500</v>
      </c>
      <c r="L182">
        <v>20</v>
      </c>
      <c r="M182">
        <v>5600</v>
      </c>
      <c r="N182">
        <v>4900</v>
      </c>
      <c r="O182">
        <v>700</v>
      </c>
      <c r="P182" t="s">
        <v>40</v>
      </c>
      <c r="Q182" t="s">
        <v>26</v>
      </c>
      <c r="R182" t="str">
        <f>TEXT(SalesData[[#This Row],[Order Date]],"mmm")</f>
        <v>Mar</v>
      </c>
      <c r="S182" s="2" t="str">
        <f>"Q"&amp;ROUNDUP(MONTH(SalesData[[#This Row],[Order Date]])/3,0)</f>
        <v>Q1</v>
      </c>
      <c r="T182">
        <f>YEAR(SalesData[[#This Row],[Order Date]])</f>
        <v>2025</v>
      </c>
      <c r="U182">
        <f>SalesData[[#This Row],[Profit]]/SalesData[[#This Row],[Sales]]</f>
        <v>0.125</v>
      </c>
    </row>
    <row r="183" spans="1:21" x14ac:dyDescent="0.25">
      <c r="A183" t="s">
        <v>399</v>
      </c>
      <c r="B183" s="1">
        <v>45818</v>
      </c>
      <c r="C183" t="s">
        <v>302</v>
      </c>
      <c r="D183" t="s">
        <v>145</v>
      </c>
      <c r="E183" t="s">
        <v>30</v>
      </c>
      <c r="F183" t="s">
        <v>31</v>
      </c>
      <c r="G183" t="s">
        <v>22</v>
      </c>
      <c r="H183" t="s">
        <v>65</v>
      </c>
      <c r="I183" t="s">
        <v>66</v>
      </c>
      <c r="J183">
        <v>6</v>
      </c>
      <c r="K183">
        <v>800</v>
      </c>
      <c r="L183">
        <v>10</v>
      </c>
      <c r="M183">
        <v>4320</v>
      </c>
      <c r="N183">
        <v>3360</v>
      </c>
      <c r="O183">
        <v>960</v>
      </c>
      <c r="P183" t="s">
        <v>58</v>
      </c>
      <c r="Q183" t="s">
        <v>33</v>
      </c>
      <c r="R183" t="str">
        <f>TEXT(SalesData[[#This Row],[Order Date]],"mmm")</f>
        <v>Jun</v>
      </c>
      <c r="S183" s="2" t="str">
        <f>"Q"&amp;ROUNDUP(MONTH(SalesData[[#This Row],[Order Date]])/3,0)</f>
        <v>Q2</v>
      </c>
      <c r="T183">
        <f>YEAR(SalesData[[#This Row],[Order Date]])</f>
        <v>2025</v>
      </c>
      <c r="U183">
        <f>SalesData[[#This Row],[Profit]]/SalesData[[#This Row],[Sales]]</f>
        <v>0.22222222222222221</v>
      </c>
    </row>
    <row r="184" spans="1:21" x14ac:dyDescent="0.25">
      <c r="A184" t="s">
        <v>400</v>
      </c>
      <c r="B184" s="1">
        <v>45771</v>
      </c>
      <c r="C184" t="s">
        <v>365</v>
      </c>
      <c r="D184" t="s">
        <v>329</v>
      </c>
      <c r="E184" t="s">
        <v>37</v>
      </c>
      <c r="F184" t="s">
        <v>38</v>
      </c>
      <c r="G184" t="s">
        <v>22</v>
      </c>
      <c r="H184" t="s">
        <v>32</v>
      </c>
      <c r="I184" t="s">
        <v>80</v>
      </c>
      <c r="J184">
        <v>9</v>
      </c>
      <c r="K184">
        <v>55000</v>
      </c>
      <c r="L184">
        <v>20</v>
      </c>
      <c r="M184">
        <v>396000</v>
      </c>
      <c r="N184">
        <v>346500</v>
      </c>
      <c r="O184">
        <v>49500</v>
      </c>
      <c r="P184" t="s">
        <v>40</v>
      </c>
      <c r="Q184" t="s">
        <v>26</v>
      </c>
      <c r="R184" t="str">
        <f>TEXT(SalesData[[#This Row],[Order Date]],"mmm")</f>
        <v>Apr</v>
      </c>
      <c r="S184" s="2" t="str">
        <f>"Q"&amp;ROUNDUP(MONTH(SalesData[[#This Row],[Order Date]])/3,0)</f>
        <v>Q2</v>
      </c>
      <c r="T184">
        <f>YEAR(SalesData[[#This Row],[Order Date]])</f>
        <v>2025</v>
      </c>
      <c r="U184">
        <f>SalesData[[#This Row],[Profit]]/SalesData[[#This Row],[Sales]]</f>
        <v>0.125</v>
      </c>
    </row>
    <row r="185" spans="1:21" x14ac:dyDescent="0.25">
      <c r="A185" t="s">
        <v>401</v>
      </c>
      <c r="B185" s="1">
        <v>45957</v>
      </c>
      <c r="C185" t="s">
        <v>28</v>
      </c>
      <c r="D185" t="s">
        <v>262</v>
      </c>
      <c r="E185" t="s">
        <v>20</v>
      </c>
      <c r="F185" t="s">
        <v>21</v>
      </c>
      <c r="G185" t="s">
        <v>22</v>
      </c>
      <c r="H185" t="s">
        <v>65</v>
      </c>
      <c r="I185" t="s">
        <v>66</v>
      </c>
      <c r="J185">
        <v>8</v>
      </c>
      <c r="K185">
        <v>3500</v>
      </c>
      <c r="L185">
        <v>20</v>
      </c>
      <c r="M185">
        <v>22400</v>
      </c>
      <c r="N185">
        <v>19600</v>
      </c>
      <c r="O185">
        <v>2800</v>
      </c>
      <c r="P185" t="s">
        <v>25</v>
      </c>
      <c r="Q185" t="s">
        <v>33</v>
      </c>
      <c r="R185" t="str">
        <f>TEXT(SalesData[[#This Row],[Order Date]],"mmm")</f>
        <v>Oct</v>
      </c>
      <c r="S185" s="2" t="str">
        <f>"Q"&amp;ROUNDUP(MONTH(SalesData[[#This Row],[Order Date]])/3,0)</f>
        <v>Q4</v>
      </c>
      <c r="T185">
        <f>YEAR(SalesData[[#This Row],[Order Date]])</f>
        <v>2025</v>
      </c>
      <c r="U185">
        <f>SalesData[[#This Row],[Profit]]/SalesData[[#This Row],[Sales]]</f>
        <v>0.125</v>
      </c>
    </row>
    <row r="186" spans="1:21" x14ac:dyDescent="0.25">
      <c r="A186" t="s">
        <v>402</v>
      </c>
      <c r="B186" s="1">
        <v>45660</v>
      </c>
      <c r="C186" t="s">
        <v>74</v>
      </c>
      <c r="D186" t="s">
        <v>394</v>
      </c>
      <c r="E186" t="s">
        <v>37</v>
      </c>
      <c r="F186" t="s">
        <v>38</v>
      </c>
      <c r="G186" t="s">
        <v>22</v>
      </c>
      <c r="H186" t="s">
        <v>23</v>
      </c>
      <c r="I186" t="s">
        <v>39</v>
      </c>
      <c r="J186">
        <v>1</v>
      </c>
      <c r="K186">
        <v>55000</v>
      </c>
      <c r="L186">
        <v>20</v>
      </c>
      <c r="M186">
        <v>44000</v>
      </c>
      <c r="N186">
        <v>38500</v>
      </c>
      <c r="O186">
        <v>5500</v>
      </c>
      <c r="P186" t="s">
        <v>25</v>
      </c>
      <c r="Q186" t="s">
        <v>33</v>
      </c>
      <c r="R186" t="str">
        <f>TEXT(SalesData[[#This Row],[Order Date]],"mmm")</f>
        <v>Jan</v>
      </c>
      <c r="S186" s="2" t="str">
        <f>"Q"&amp;ROUNDUP(MONTH(SalesData[[#This Row],[Order Date]])/3,0)</f>
        <v>Q1</v>
      </c>
      <c r="T186">
        <f>YEAR(SalesData[[#This Row],[Order Date]])</f>
        <v>2025</v>
      </c>
      <c r="U186">
        <f>SalesData[[#This Row],[Profit]]/SalesData[[#This Row],[Sales]]</f>
        <v>0.125</v>
      </c>
    </row>
    <row r="187" spans="1:21" x14ac:dyDescent="0.25">
      <c r="A187" t="s">
        <v>403</v>
      </c>
      <c r="B187" s="1">
        <v>45934</v>
      </c>
      <c r="C187" t="s">
        <v>141</v>
      </c>
      <c r="D187" t="s">
        <v>75</v>
      </c>
      <c r="E187" t="s">
        <v>30</v>
      </c>
      <c r="F187" t="s">
        <v>31</v>
      </c>
      <c r="G187" t="s">
        <v>22</v>
      </c>
      <c r="H187" t="s">
        <v>32</v>
      </c>
      <c r="I187" t="s">
        <v>24</v>
      </c>
      <c r="J187">
        <v>10</v>
      </c>
      <c r="K187">
        <v>800</v>
      </c>
      <c r="L187">
        <v>0</v>
      </c>
      <c r="M187">
        <v>8000</v>
      </c>
      <c r="N187">
        <v>5600</v>
      </c>
      <c r="O187">
        <v>2400</v>
      </c>
      <c r="P187" t="s">
        <v>40</v>
      </c>
      <c r="Q187" t="s">
        <v>76</v>
      </c>
      <c r="R187" t="str">
        <f>TEXT(SalesData[[#This Row],[Order Date]],"mmm")</f>
        <v>Oct</v>
      </c>
      <c r="S187" s="2" t="str">
        <f>"Q"&amp;ROUNDUP(MONTH(SalesData[[#This Row],[Order Date]])/3,0)</f>
        <v>Q4</v>
      </c>
      <c r="T187">
        <f>YEAR(SalesData[[#This Row],[Order Date]])</f>
        <v>2025</v>
      </c>
      <c r="U187">
        <f>SalesData[[#This Row],[Profit]]/SalesData[[#This Row],[Sales]]</f>
        <v>0.3</v>
      </c>
    </row>
    <row r="188" spans="1:21" x14ac:dyDescent="0.25">
      <c r="A188" t="s">
        <v>404</v>
      </c>
      <c r="B188" s="1">
        <v>45801</v>
      </c>
      <c r="C188" t="s">
        <v>141</v>
      </c>
      <c r="D188" t="s">
        <v>305</v>
      </c>
      <c r="E188" t="s">
        <v>70</v>
      </c>
      <c r="F188" t="s">
        <v>71</v>
      </c>
      <c r="G188" t="s">
        <v>22</v>
      </c>
      <c r="H188" t="s">
        <v>23</v>
      </c>
      <c r="I188" t="s">
        <v>39</v>
      </c>
      <c r="J188">
        <v>6</v>
      </c>
      <c r="K188">
        <v>1500</v>
      </c>
      <c r="L188">
        <v>5</v>
      </c>
      <c r="M188">
        <v>8550</v>
      </c>
      <c r="N188">
        <v>6300</v>
      </c>
      <c r="O188">
        <v>2250</v>
      </c>
      <c r="P188" t="s">
        <v>58</v>
      </c>
      <c r="Q188" t="s">
        <v>76</v>
      </c>
      <c r="R188" t="str">
        <f>TEXT(SalesData[[#This Row],[Order Date]],"mmm")</f>
        <v>May</v>
      </c>
      <c r="S188" s="2" t="str">
        <f>"Q"&amp;ROUNDUP(MONTH(SalesData[[#This Row],[Order Date]])/3,0)</f>
        <v>Q2</v>
      </c>
      <c r="T188">
        <f>YEAR(SalesData[[#This Row],[Order Date]])</f>
        <v>2025</v>
      </c>
      <c r="U188">
        <f>SalesData[[#This Row],[Profit]]/SalesData[[#This Row],[Sales]]</f>
        <v>0.26315789473684209</v>
      </c>
    </row>
    <row r="189" spans="1:21" x14ac:dyDescent="0.25">
      <c r="A189" t="s">
        <v>405</v>
      </c>
      <c r="B189" s="1">
        <v>45782</v>
      </c>
      <c r="C189" t="s">
        <v>370</v>
      </c>
      <c r="D189" t="s">
        <v>222</v>
      </c>
      <c r="E189" t="s">
        <v>37</v>
      </c>
      <c r="F189" t="s">
        <v>38</v>
      </c>
      <c r="G189" t="s">
        <v>22</v>
      </c>
      <c r="H189" t="s">
        <v>32</v>
      </c>
      <c r="I189" t="s">
        <v>72</v>
      </c>
      <c r="J189">
        <v>10</v>
      </c>
      <c r="K189">
        <v>55000</v>
      </c>
      <c r="L189">
        <v>10</v>
      </c>
      <c r="M189">
        <v>495000</v>
      </c>
      <c r="N189">
        <v>385000</v>
      </c>
      <c r="O189">
        <v>110000</v>
      </c>
      <c r="P189" t="s">
        <v>40</v>
      </c>
      <c r="Q189" t="s">
        <v>76</v>
      </c>
      <c r="R189" t="str">
        <f>TEXT(SalesData[[#This Row],[Order Date]],"mmm")</f>
        <v>May</v>
      </c>
      <c r="S189" s="2" t="str">
        <f>"Q"&amp;ROUNDUP(MONTH(SalesData[[#This Row],[Order Date]])/3,0)</f>
        <v>Q2</v>
      </c>
      <c r="T189">
        <f>YEAR(SalesData[[#This Row],[Order Date]])</f>
        <v>2025</v>
      </c>
      <c r="U189">
        <f>SalesData[[#This Row],[Profit]]/SalesData[[#This Row],[Sales]]</f>
        <v>0.22222222222222221</v>
      </c>
    </row>
    <row r="190" spans="1:21" x14ac:dyDescent="0.25">
      <c r="A190" t="s">
        <v>406</v>
      </c>
      <c r="B190" s="1">
        <v>45977</v>
      </c>
      <c r="C190" t="s">
        <v>237</v>
      </c>
      <c r="D190" t="s">
        <v>153</v>
      </c>
      <c r="E190" t="s">
        <v>30</v>
      </c>
      <c r="F190" t="s">
        <v>31</v>
      </c>
      <c r="G190" t="s">
        <v>22</v>
      </c>
      <c r="H190" t="s">
        <v>65</v>
      </c>
      <c r="I190" t="s">
        <v>39</v>
      </c>
      <c r="J190">
        <v>9</v>
      </c>
      <c r="K190">
        <v>800</v>
      </c>
      <c r="L190">
        <v>15</v>
      </c>
      <c r="M190">
        <v>6120</v>
      </c>
      <c r="N190">
        <v>5040</v>
      </c>
      <c r="O190">
        <v>1080</v>
      </c>
      <c r="P190" t="s">
        <v>25</v>
      </c>
      <c r="Q190" t="s">
        <v>26</v>
      </c>
      <c r="R190" t="str">
        <f>TEXT(SalesData[[#This Row],[Order Date]],"mmm")</f>
        <v>Nov</v>
      </c>
      <c r="S190" s="2" t="str">
        <f>"Q"&amp;ROUNDUP(MONTH(SalesData[[#This Row],[Order Date]])/3,0)</f>
        <v>Q4</v>
      </c>
      <c r="T190">
        <f>YEAR(SalesData[[#This Row],[Order Date]])</f>
        <v>2025</v>
      </c>
      <c r="U190">
        <f>SalesData[[#This Row],[Profit]]/SalesData[[#This Row],[Sales]]</f>
        <v>0.17647058823529413</v>
      </c>
    </row>
    <row r="191" spans="1:21" x14ac:dyDescent="0.25">
      <c r="A191" t="s">
        <v>407</v>
      </c>
      <c r="B191" s="1">
        <v>45675</v>
      </c>
      <c r="C191" t="s">
        <v>115</v>
      </c>
      <c r="D191" t="s">
        <v>408</v>
      </c>
      <c r="E191" t="s">
        <v>20</v>
      </c>
      <c r="F191" t="s">
        <v>21</v>
      </c>
      <c r="G191" t="s">
        <v>22</v>
      </c>
      <c r="H191" t="s">
        <v>65</v>
      </c>
      <c r="I191" t="s">
        <v>72</v>
      </c>
      <c r="J191">
        <v>8</v>
      </c>
      <c r="K191">
        <v>3500</v>
      </c>
      <c r="L191">
        <v>0</v>
      </c>
      <c r="M191">
        <v>28000</v>
      </c>
      <c r="N191">
        <v>19600</v>
      </c>
      <c r="O191">
        <v>8400</v>
      </c>
      <c r="P191" t="s">
        <v>58</v>
      </c>
      <c r="Q191" t="s">
        <v>26</v>
      </c>
      <c r="R191" t="str">
        <f>TEXT(SalesData[[#This Row],[Order Date]],"mmm")</f>
        <v>Jan</v>
      </c>
      <c r="S191" s="2" t="str">
        <f>"Q"&amp;ROUNDUP(MONTH(SalesData[[#This Row],[Order Date]])/3,0)</f>
        <v>Q1</v>
      </c>
      <c r="T191">
        <f>YEAR(SalesData[[#This Row],[Order Date]])</f>
        <v>2025</v>
      </c>
      <c r="U191">
        <f>SalesData[[#This Row],[Profit]]/SalesData[[#This Row],[Sales]]</f>
        <v>0.3</v>
      </c>
    </row>
    <row r="192" spans="1:21" x14ac:dyDescent="0.25">
      <c r="A192" t="s">
        <v>409</v>
      </c>
      <c r="B192" s="1">
        <v>45731</v>
      </c>
      <c r="C192" t="s">
        <v>182</v>
      </c>
      <c r="D192" t="s">
        <v>49</v>
      </c>
      <c r="E192" t="s">
        <v>50</v>
      </c>
      <c r="F192" t="s">
        <v>51</v>
      </c>
      <c r="G192" t="s">
        <v>52</v>
      </c>
      <c r="H192" t="s">
        <v>32</v>
      </c>
      <c r="I192" t="s">
        <v>66</v>
      </c>
      <c r="J192">
        <v>3</v>
      </c>
      <c r="K192">
        <v>3200</v>
      </c>
      <c r="L192">
        <v>20</v>
      </c>
      <c r="M192">
        <v>7680</v>
      </c>
      <c r="N192">
        <v>6720</v>
      </c>
      <c r="O192">
        <v>960</v>
      </c>
      <c r="P192" t="s">
        <v>54</v>
      </c>
      <c r="Q192" t="s">
        <v>26</v>
      </c>
      <c r="R192" t="str">
        <f>TEXT(SalesData[[#This Row],[Order Date]],"mmm")</f>
        <v>Mar</v>
      </c>
      <c r="S192" s="2" t="str">
        <f>"Q"&amp;ROUNDUP(MONTH(SalesData[[#This Row],[Order Date]])/3,0)</f>
        <v>Q1</v>
      </c>
      <c r="T192">
        <f>YEAR(SalesData[[#This Row],[Order Date]])</f>
        <v>2025</v>
      </c>
      <c r="U192">
        <f>SalesData[[#This Row],[Profit]]/SalesData[[#This Row],[Sales]]</f>
        <v>0.125</v>
      </c>
    </row>
    <row r="193" spans="1:21" x14ac:dyDescent="0.25">
      <c r="A193" t="s">
        <v>410</v>
      </c>
      <c r="B193" s="1">
        <v>45711</v>
      </c>
      <c r="C193" t="s">
        <v>132</v>
      </c>
      <c r="D193" t="s">
        <v>305</v>
      </c>
      <c r="E193" t="s">
        <v>30</v>
      </c>
      <c r="F193" t="s">
        <v>31</v>
      </c>
      <c r="G193" t="s">
        <v>22</v>
      </c>
      <c r="H193" t="s">
        <v>32</v>
      </c>
      <c r="I193" t="s">
        <v>24</v>
      </c>
      <c r="J193">
        <v>10</v>
      </c>
      <c r="K193">
        <v>800</v>
      </c>
      <c r="L193">
        <v>10</v>
      </c>
      <c r="M193">
        <v>7200</v>
      </c>
      <c r="N193">
        <v>5600</v>
      </c>
      <c r="O193">
        <v>1600</v>
      </c>
      <c r="P193" t="s">
        <v>58</v>
      </c>
      <c r="Q193" t="s">
        <v>26</v>
      </c>
      <c r="R193" t="str">
        <f>TEXT(SalesData[[#This Row],[Order Date]],"mmm")</f>
        <v>Feb</v>
      </c>
      <c r="S193" s="2" t="str">
        <f>"Q"&amp;ROUNDUP(MONTH(SalesData[[#This Row],[Order Date]])/3,0)</f>
        <v>Q1</v>
      </c>
      <c r="T193">
        <f>YEAR(SalesData[[#This Row],[Order Date]])</f>
        <v>2025</v>
      </c>
      <c r="U193">
        <f>SalesData[[#This Row],[Profit]]/SalesData[[#This Row],[Sales]]</f>
        <v>0.22222222222222221</v>
      </c>
    </row>
    <row r="194" spans="1:21" x14ac:dyDescent="0.25">
      <c r="A194" t="s">
        <v>411</v>
      </c>
      <c r="B194" s="1">
        <v>45991</v>
      </c>
      <c r="C194" t="s">
        <v>99</v>
      </c>
      <c r="D194" t="s">
        <v>317</v>
      </c>
      <c r="E194" t="s">
        <v>70</v>
      </c>
      <c r="F194" t="s">
        <v>71</v>
      </c>
      <c r="G194" t="s">
        <v>22</v>
      </c>
      <c r="H194" t="s">
        <v>23</v>
      </c>
      <c r="I194" t="s">
        <v>66</v>
      </c>
      <c r="J194">
        <v>6</v>
      </c>
      <c r="K194">
        <v>1500</v>
      </c>
      <c r="L194">
        <v>15</v>
      </c>
      <c r="M194">
        <v>7650</v>
      </c>
      <c r="N194">
        <v>6300</v>
      </c>
      <c r="O194">
        <v>1350</v>
      </c>
      <c r="P194" t="s">
        <v>25</v>
      </c>
      <c r="Q194" t="s">
        <v>33</v>
      </c>
      <c r="R194" t="str">
        <f>TEXT(SalesData[[#This Row],[Order Date]],"mmm")</f>
        <v>Nov</v>
      </c>
      <c r="S194" s="2" t="str">
        <f>"Q"&amp;ROUNDUP(MONTH(SalesData[[#This Row],[Order Date]])/3,0)</f>
        <v>Q4</v>
      </c>
      <c r="T194">
        <f>YEAR(SalesData[[#This Row],[Order Date]])</f>
        <v>2025</v>
      </c>
      <c r="U194">
        <f>SalesData[[#This Row],[Profit]]/SalesData[[#This Row],[Sales]]</f>
        <v>0.17647058823529413</v>
      </c>
    </row>
    <row r="195" spans="1:21" x14ac:dyDescent="0.25">
      <c r="A195" t="s">
        <v>412</v>
      </c>
      <c r="B195" s="1">
        <v>45876</v>
      </c>
      <c r="C195" t="s">
        <v>163</v>
      </c>
      <c r="D195" t="s">
        <v>79</v>
      </c>
      <c r="E195" t="s">
        <v>20</v>
      </c>
      <c r="F195" t="s">
        <v>21</v>
      </c>
      <c r="G195" t="s">
        <v>22</v>
      </c>
      <c r="H195" t="s">
        <v>23</v>
      </c>
      <c r="I195" t="s">
        <v>66</v>
      </c>
      <c r="J195">
        <v>4</v>
      </c>
      <c r="K195">
        <v>3500</v>
      </c>
      <c r="L195">
        <v>10</v>
      </c>
      <c r="M195">
        <v>12600</v>
      </c>
      <c r="N195">
        <v>9800</v>
      </c>
      <c r="O195">
        <v>2800</v>
      </c>
      <c r="P195" t="s">
        <v>54</v>
      </c>
      <c r="Q195" t="s">
        <v>76</v>
      </c>
      <c r="R195" t="str">
        <f>TEXT(SalesData[[#This Row],[Order Date]],"mmm")</f>
        <v>Aug</v>
      </c>
      <c r="S195" s="2" t="str">
        <f>"Q"&amp;ROUNDUP(MONTH(SalesData[[#This Row],[Order Date]])/3,0)</f>
        <v>Q3</v>
      </c>
      <c r="T195">
        <f>YEAR(SalesData[[#This Row],[Order Date]])</f>
        <v>2025</v>
      </c>
      <c r="U195">
        <f>SalesData[[#This Row],[Profit]]/SalesData[[#This Row],[Sales]]</f>
        <v>0.22222222222222221</v>
      </c>
    </row>
    <row r="196" spans="1:21" x14ac:dyDescent="0.25">
      <c r="A196" t="s">
        <v>413</v>
      </c>
      <c r="B196" s="1">
        <v>45854</v>
      </c>
      <c r="C196" t="s">
        <v>125</v>
      </c>
      <c r="D196" t="s">
        <v>171</v>
      </c>
      <c r="E196" t="s">
        <v>50</v>
      </c>
      <c r="F196" t="s">
        <v>51</v>
      </c>
      <c r="G196" t="s">
        <v>52</v>
      </c>
      <c r="H196" t="s">
        <v>46</v>
      </c>
      <c r="I196" t="s">
        <v>39</v>
      </c>
      <c r="J196">
        <v>2</v>
      </c>
      <c r="K196">
        <v>3200</v>
      </c>
      <c r="L196">
        <v>0</v>
      </c>
      <c r="M196">
        <v>6400</v>
      </c>
      <c r="N196">
        <v>4480</v>
      </c>
      <c r="O196">
        <v>1920</v>
      </c>
      <c r="P196" t="s">
        <v>25</v>
      </c>
      <c r="Q196" t="s">
        <v>26</v>
      </c>
      <c r="R196" t="str">
        <f>TEXT(SalesData[[#This Row],[Order Date]],"mmm")</f>
        <v>Jul</v>
      </c>
      <c r="S196" s="2" t="str">
        <f>"Q"&amp;ROUNDUP(MONTH(SalesData[[#This Row],[Order Date]])/3,0)</f>
        <v>Q3</v>
      </c>
      <c r="T196">
        <f>YEAR(SalesData[[#This Row],[Order Date]])</f>
        <v>2025</v>
      </c>
      <c r="U196">
        <f>SalesData[[#This Row],[Profit]]/SalesData[[#This Row],[Sales]]</f>
        <v>0.3</v>
      </c>
    </row>
    <row r="197" spans="1:21" x14ac:dyDescent="0.25">
      <c r="A197" t="s">
        <v>414</v>
      </c>
      <c r="B197" s="1">
        <v>45821</v>
      </c>
      <c r="C197" t="s">
        <v>115</v>
      </c>
      <c r="D197" t="s">
        <v>253</v>
      </c>
      <c r="E197" t="s">
        <v>30</v>
      </c>
      <c r="F197" t="s">
        <v>31</v>
      </c>
      <c r="G197" t="s">
        <v>22</v>
      </c>
      <c r="H197" t="s">
        <v>23</v>
      </c>
      <c r="I197" t="s">
        <v>24</v>
      </c>
      <c r="J197">
        <v>5</v>
      </c>
      <c r="K197">
        <v>800</v>
      </c>
      <c r="L197">
        <v>20</v>
      </c>
      <c r="M197">
        <v>3200</v>
      </c>
      <c r="N197">
        <v>2800</v>
      </c>
      <c r="O197">
        <v>400</v>
      </c>
      <c r="P197" t="s">
        <v>25</v>
      </c>
      <c r="Q197" t="s">
        <v>76</v>
      </c>
      <c r="R197" t="str">
        <f>TEXT(SalesData[[#This Row],[Order Date]],"mmm")</f>
        <v>Jun</v>
      </c>
      <c r="S197" s="2" t="str">
        <f>"Q"&amp;ROUNDUP(MONTH(SalesData[[#This Row],[Order Date]])/3,0)</f>
        <v>Q2</v>
      </c>
      <c r="T197">
        <f>YEAR(SalesData[[#This Row],[Order Date]])</f>
        <v>2025</v>
      </c>
      <c r="U197">
        <f>SalesData[[#This Row],[Profit]]/SalesData[[#This Row],[Sales]]</f>
        <v>0.125</v>
      </c>
    </row>
    <row r="198" spans="1:21" x14ac:dyDescent="0.25">
      <c r="A198" t="s">
        <v>415</v>
      </c>
      <c r="B198" s="1">
        <v>45764</v>
      </c>
      <c r="C198" t="s">
        <v>82</v>
      </c>
      <c r="D198" t="s">
        <v>86</v>
      </c>
      <c r="E198" t="s">
        <v>20</v>
      </c>
      <c r="F198" t="s">
        <v>21</v>
      </c>
      <c r="G198" t="s">
        <v>22</v>
      </c>
      <c r="H198" t="s">
        <v>32</v>
      </c>
      <c r="I198" t="s">
        <v>66</v>
      </c>
      <c r="J198">
        <v>3</v>
      </c>
      <c r="K198">
        <v>3500</v>
      </c>
      <c r="L198">
        <v>15</v>
      </c>
      <c r="M198">
        <v>8925</v>
      </c>
      <c r="N198">
        <v>7349.9999999999991</v>
      </c>
      <c r="O198">
        <v>1575.0000000000009</v>
      </c>
      <c r="P198" t="s">
        <v>40</v>
      </c>
      <c r="Q198" t="s">
        <v>76</v>
      </c>
      <c r="R198" t="str">
        <f>TEXT(SalesData[[#This Row],[Order Date]],"mmm")</f>
        <v>Apr</v>
      </c>
      <c r="S198" s="2" t="str">
        <f>"Q"&amp;ROUNDUP(MONTH(SalesData[[#This Row],[Order Date]])/3,0)</f>
        <v>Q2</v>
      </c>
      <c r="T198">
        <f>YEAR(SalesData[[#This Row],[Order Date]])</f>
        <v>2025</v>
      </c>
      <c r="U198">
        <f>SalesData[[#This Row],[Profit]]/SalesData[[#This Row],[Sales]]</f>
        <v>0.17647058823529421</v>
      </c>
    </row>
    <row r="199" spans="1:21" x14ac:dyDescent="0.25">
      <c r="A199" t="s">
        <v>416</v>
      </c>
      <c r="B199" s="1">
        <v>45939</v>
      </c>
      <c r="C199" t="s">
        <v>190</v>
      </c>
      <c r="D199" t="s">
        <v>199</v>
      </c>
      <c r="E199" t="s">
        <v>93</v>
      </c>
      <c r="F199" t="s">
        <v>94</v>
      </c>
      <c r="G199" t="s">
        <v>64</v>
      </c>
      <c r="H199" t="s">
        <v>32</v>
      </c>
      <c r="I199" t="s">
        <v>72</v>
      </c>
      <c r="J199">
        <v>1</v>
      </c>
      <c r="K199">
        <v>4500</v>
      </c>
      <c r="L199">
        <v>5</v>
      </c>
      <c r="M199">
        <v>4275</v>
      </c>
      <c r="N199">
        <v>3150</v>
      </c>
      <c r="O199">
        <v>1125</v>
      </c>
      <c r="P199" t="s">
        <v>40</v>
      </c>
      <c r="Q199" t="s">
        <v>33</v>
      </c>
      <c r="R199" t="str">
        <f>TEXT(SalesData[[#This Row],[Order Date]],"mmm")</f>
        <v>Oct</v>
      </c>
      <c r="S199" s="2" t="str">
        <f>"Q"&amp;ROUNDUP(MONTH(SalesData[[#This Row],[Order Date]])/3,0)</f>
        <v>Q4</v>
      </c>
      <c r="T199">
        <f>YEAR(SalesData[[#This Row],[Order Date]])</f>
        <v>2025</v>
      </c>
      <c r="U199">
        <f>SalesData[[#This Row],[Profit]]/SalesData[[#This Row],[Sales]]</f>
        <v>0.26315789473684209</v>
      </c>
    </row>
    <row r="200" spans="1:21" x14ac:dyDescent="0.25">
      <c r="A200" t="s">
        <v>417</v>
      </c>
      <c r="B200" s="1">
        <v>45840</v>
      </c>
      <c r="C200" t="s">
        <v>418</v>
      </c>
      <c r="D200" t="s">
        <v>185</v>
      </c>
      <c r="E200" t="s">
        <v>50</v>
      </c>
      <c r="F200" t="s">
        <v>51</v>
      </c>
      <c r="G200" t="s">
        <v>52</v>
      </c>
      <c r="H200" t="s">
        <v>23</v>
      </c>
      <c r="I200" t="s">
        <v>66</v>
      </c>
      <c r="J200">
        <v>1</v>
      </c>
      <c r="K200">
        <v>3200</v>
      </c>
      <c r="L200">
        <v>20</v>
      </c>
      <c r="M200">
        <v>2560</v>
      </c>
      <c r="N200">
        <v>2240</v>
      </c>
      <c r="O200">
        <v>320</v>
      </c>
      <c r="P200" t="s">
        <v>58</v>
      </c>
      <c r="Q200" t="s">
        <v>76</v>
      </c>
      <c r="R200" t="str">
        <f>TEXT(SalesData[[#This Row],[Order Date]],"mmm")</f>
        <v>Jul</v>
      </c>
      <c r="S200" s="2" t="str">
        <f>"Q"&amp;ROUNDUP(MONTH(SalesData[[#This Row],[Order Date]])/3,0)</f>
        <v>Q3</v>
      </c>
      <c r="T200">
        <f>YEAR(SalesData[[#This Row],[Order Date]])</f>
        <v>2025</v>
      </c>
      <c r="U200">
        <f>SalesData[[#This Row],[Profit]]/SalesData[[#This Row],[Sales]]</f>
        <v>0.125</v>
      </c>
    </row>
    <row r="201" spans="1:21" x14ac:dyDescent="0.25">
      <c r="A201" t="s">
        <v>419</v>
      </c>
      <c r="B201" s="1">
        <v>45696</v>
      </c>
      <c r="C201" t="s">
        <v>157</v>
      </c>
      <c r="D201" t="s">
        <v>420</v>
      </c>
      <c r="E201" t="s">
        <v>70</v>
      </c>
      <c r="F201" t="s">
        <v>71</v>
      </c>
      <c r="G201" t="s">
        <v>22</v>
      </c>
      <c r="H201" t="s">
        <v>65</v>
      </c>
      <c r="I201" t="s">
        <v>72</v>
      </c>
      <c r="J201">
        <v>2</v>
      </c>
      <c r="K201">
        <v>1500</v>
      </c>
      <c r="L201">
        <v>5</v>
      </c>
      <c r="M201">
        <v>2850</v>
      </c>
      <c r="N201">
        <v>2100</v>
      </c>
      <c r="O201">
        <v>750</v>
      </c>
      <c r="P201" t="s">
        <v>25</v>
      </c>
      <c r="Q201" t="s">
        <v>76</v>
      </c>
      <c r="R201" t="str">
        <f>TEXT(SalesData[[#This Row],[Order Date]],"mmm")</f>
        <v>Feb</v>
      </c>
      <c r="S201" s="2" t="str">
        <f>"Q"&amp;ROUNDUP(MONTH(SalesData[[#This Row],[Order Date]])/3,0)</f>
        <v>Q1</v>
      </c>
      <c r="T201">
        <f>YEAR(SalesData[[#This Row],[Order Date]])</f>
        <v>2025</v>
      </c>
      <c r="U201">
        <f>SalesData[[#This Row],[Profit]]/SalesData[[#This Row],[Sales]]</f>
        <v>0.26315789473684209</v>
      </c>
    </row>
    <row r="202" spans="1:21" x14ac:dyDescent="0.25">
      <c r="A202" t="s">
        <v>421</v>
      </c>
      <c r="B202" s="1">
        <v>46015</v>
      </c>
      <c r="C202" t="s">
        <v>135</v>
      </c>
      <c r="D202" t="s">
        <v>422</v>
      </c>
      <c r="E202" t="s">
        <v>70</v>
      </c>
      <c r="F202" t="s">
        <v>71</v>
      </c>
      <c r="G202" t="s">
        <v>22</v>
      </c>
      <c r="H202" t="s">
        <v>32</v>
      </c>
      <c r="I202" t="s">
        <v>39</v>
      </c>
      <c r="J202">
        <v>10</v>
      </c>
      <c r="K202">
        <v>1500</v>
      </c>
      <c r="L202">
        <v>5</v>
      </c>
      <c r="M202">
        <v>14250</v>
      </c>
      <c r="N202">
        <v>10500</v>
      </c>
      <c r="O202">
        <v>3750</v>
      </c>
      <c r="P202" t="s">
        <v>54</v>
      </c>
      <c r="Q202" t="s">
        <v>26</v>
      </c>
      <c r="R202" t="str">
        <f>TEXT(SalesData[[#This Row],[Order Date]],"mmm")</f>
        <v>Dec</v>
      </c>
      <c r="S202" s="2" t="str">
        <f>"Q"&amp;ROUNDUP(MONTH(SalesData[[#This Row],[Order Date]])/3,0)</f>
        <v>Q4</v>
      </c>
      <c r="T202">
        <f>YEAR(SalesData[[#This Row],[Order Date]])</f>
        <v>2025</v>
      </c>
      <c r="U202">
        <f>SalesData[[#This Row],[Profit]]/SalesData[[#This Row],[Sales]]</f>
        <v>0.26315789473684209</v>
      </c>
    </row>
    <row r="203" spans="1:21" x14ac:dyDescent="0.25">
      <c r="A203" t="s">
        <v>423</v>
      </c>
      <c r="B203" s="1">
        <v>45797</v>
      </c>
      <c r="C203" t="s">
        <v>273</v>
      </c>
      <c r="D203" t="s">
        <v>320</v>
      </c>
      <c r="E203" t="s">
        <v>70</v>
      </c>
      <c r="F203" t="s">
        <v>71</v>
      </c>
      <c r="G203" t="s">
        <v>22</v>
      </c>
      <c r="H203" t="s">
        <v>32</v>
      </c>
      <c r="I203" t="s">
        <v>24</v>
      </c>
      <c r="J203">
        <v>9</v>
      </c>
      <c r="K203">
        <v>1500</v>
      </c>
      <c r="L203">
        <v>0</v>
      </c>
      <c r="M203">
        <v>13500</v>
      </c>
      <c r="N203">
        <v>9450</v>
      </c>
      <c r="O203">
        <v>4050</v>
      </c>
      <c r="P203" t="s">
        <v>40</v>
      </c>
      <c r="Q203" t="s">
        <v>26</v>
      </c>
      <c r="R203" t="str">
        <f>TEXT(SalesData[[#This Row],[Order Date]],"mmm")</f>
        <v>May</v>
      </c>
      <c r="S203" s="2" t="str">
        <f>"Q"&amp;ROUNDUP(MONTH(SalesData[[#This Row],[Order Date]])/3,0)</f>
        <v>Q2</v>
      </c>
      <c r="T203">
        <f>YEAR(SalesData[[#This Row],[Order Date]])</f>
        <v>2025</v>
      </c>
      <c r="U203">
        <f>SalesData[[#This Row],[Profit]]/SalesData[[#This Row],[Sales]]</f>
        <v>0.3</v>
      </c>
    </row>
    <row r="204" spans="1:21" x14ac:dyDescent="0.25">
      <c r="A204" t="s">
        <v>424</v>
      </c>
      <c r="B204" s="1">
        <v>45907</v>
      </c>
      <c r="C204" t="s">
        <v>277</v>
      </c>
      <c r="D204" t="s">
        <v>256</v>
      </c>
      <c r="E204" t="s">
        <v>37</v>
      </c>
      <c r="F204" t="s">
        <v>38</v>
      </c>
      <c r="G204" t="s">
        <v>22</v>
      </c>
      <c r="H204" t="s">
        <v>23</v>
      </c>
      <c r="I204" t="s">
        <v>66</v>
      </c>
      <c r="J204">
        <v>6</v>
      </c>
      <c r="K204">
        <v>55000</v>
      </c>
      <c r="L204">
        <v>0</v>
      </c>
      <c r="M204">
        <v>330000</v>
      </c>
      <c r="N204">
        <v>231000</v>
      </c>
      <c r="O204">
        <v>99000.000000000029</v>
      </c>
      <c r="P204" t="s">
        <v>54</v>
      </c>
      <c r="Q204" t="s">
        <v>33</v>
      </c>
      <c r="R204" t="str">
        <f>TEXT(SalesData[[#This Row],[Order Date]],"mmm")</f>
        <v>Sep</v>
      </c>
      <c r="S204" s="2" t="str">
        <f>"Q"&amp;ROUNDUP(MONTH(SalesData[[#This Row],[Order Date]])/3,0)</f>
        <v>Q3</v>
      </c>
      <c r="T204">
        <f>YEAR(SalesData[[#This Row],[Order Date]])</f>
        <v>2025</v>
      </c>
      <c r="U204">
        <f>SalesData[[#This Row],[Profit]]/SalesData[[#This Row],[Sales]]</f>
        <v>0.3000000000000001</v>
      </c>
    </row>
    <row r="205" spans="1:21" x14ac:dyDescent="0.25">
      <c r="A205" t="s">
        <v>425</v>
      </c>
      <c r="B205" s="1">
        <v>45944</v>
      </c>
      <c r="C205" t="s">
        <v>85</v>
      </c>
      <c r="D205" t="s">
        <v>183</v>
      </c>
      <c r="E205" t="s">
        <v>50</v>
      </c>
      <c r="F205" t="s">
        <v>51</v>
      </c>
      <c r="G205" t="s">
        <v>52</v>
      </c>
      <c r="H205" t="s">
        <v>65</v>
      </c>
      <c r="I205" t="s">
        <v>80</v>
      </c>
      <c r="J205">
        <v>5</v>
      </c>
      <c r="K205">
        <v>3200</v>
      </c>
      <c r="L205">
        <v>20</v>
      </c>
      <c r="M205">
        <v>12800</v>
      </c>
      <c r="N205">
        <v>11200</v>
      </c>
      <c r="O205">
        <v>1600</v>
      </c>
      <c r="P205" t="s">
        <v>58</v>
      </c>
      <c r="Q205" t="s">
        <v>33</v>
      </c>
      <c r="R205" t="str">
        <f>TEXT(SalesData[[#This Row],[Order Date]],"mmm")</f>
        <v>Oct</v>
      </c>
      <c r="S205" s="2" t="str">
        <f>"Q"&amp;ROUNDUP(MONTH(SalesData[[#This Row],[Order Date]])/3,0)</f>
        <v>Q4</v>
      </c>
      <c r="T205">
        <f>YEAR(SalesData[[#This Row],[Order Date]])</f>
        <v>2025</v>
      </c>
      <c r="U205">
        <f>SalesData[[#This Row],[Profit]]/SalesData[[#This Row],[Sales]]</f>
        <v>0.125</v>
      </c>
    </row>
    <row r="206" spans="1:21" x14ac:dyDescent="0.25">
      <c r="A206" t="s">
        <v>426</v>
      </c>
      <c r="B206" s="1">
        <v>45913</v>
      </c>
      <c r="C206" t="s">
        <v>138</v>
      </c>
      <c r="D206" t="s">
        <v>177</v>
      </c>
      <c r="E206" t="s">
        <v>62</v>
      </c>
      <c r="F206" t="s">
        <v>63</v>
      </c>
      <c r="G206" t="s">
        <v>64</v>
      </c>
      <c r="H206" t="s">
        <v>46</v>
      </c>
      <c r="I206" t="s">
        <v>80</v>
      </c>
      <c r="J206">
        <v>5</v>
      </c>
      <c r="K206">
        <v>8500</v>
      </c>
      <c r="L206">
        <v>15</v>
      </c>
      <c r="M206">
        <v>36125</v>
      </c>
      <c r="N206">
        <v>29750</v>
      </c>
      <c r="O206">
        <v>6375.0000000000036</v>
      </c>
      <c r="P206" t="s">
        <v>54</v>
      </c>
      <c r="Q206" t="s">
        <v>33</v>
      </c>
      <c r="R206" t="str">
        <f>TEXT(SalesData[[#This Row],[Order Date]],"mmm")</f>
        <v>Sep</v>
      </c>
      <c r="S206" s="2" t="str">
        <f>"Q"&amp;ROUNDUP(MONTH(SalesData[[#This Row],[Order Date]])/3,0)</f>
        <v>Q3</v>
      </c>
      <c r="T206">
        <f>YEAR(SalesData[[#This Row],[Order Date]])</f>
        <v>2025</v>
      </c>
      <c r="U206">
        <f>SalesData[[#This Row],[Profit]]/SalesData[[#This Row],[Sales]]</f>
        <v>0.17647058823529421</v>
      </c>
    </row>
    <row r="207" spans="1:21" x14ac:dyDescent="0.25">
      <c r="A207" t="s">
        <v>427</v>
      </c>
      <c r="B207" s="1">
        <v>45895</v>
      </c>
      <c r="C207" t="s">
        <v>246</v>
      </c>
      <c r="D207" t="s">
        <v>240</v>
      </c>
      <c r="E207" t="s">
        <v>20</v>
      </c>
      <c r="F207" t="s">
        <v>21</v>
      </c>
      <c r="G207" t="s">
        <v>22</v>
      </c>
      <c r="H207" t="s">
        <v>32</v>
      </c>
      <c r="I207" t="s">
        <v>80</v>
      </c>
      <c r="J207">
        <v>6</v>
      </c>
      <c r="K207">
        <v>3500</v>
      </c>
      <c r="L207">
        <v>10</v>
      </c>
      <c r="M207">
        <v>18900</v>
      </c>
      <c r="N207">
        <v>14700</v>
      </c>
      <c r="O207">
        <v>4200.0000000000018</v>
      </c>
      <c r="P207" t="s">
        <v>25</v>
      </c>
      <c r="Q207" t="s">
        <v>26</v>
      </c>
      <c r="R207" t="str">
        <f>TEXT(SalesData[[#This Row],[Order Date]],"mmm")</f>
        <v>Aug</v>
      </c>
      <c r="S207" s="2" t="str">
        <f>"Q"&amp;ROUNDUP(MONTH(SalesData[[#This Row],[Order Date]])/3,0)</f>
        <v>Q3</v>
      </c>
      <c r="T207">
        <f>YEAR(SalesData[[#This Row],[Order Date]])</f>
        <v>2025</v>
      </c>
      <c r="U207">
        <f>SalesData[[#This Row],[Profit]]/SalesData[[#This Row],[Sales]]</f>
        <v>0.22222222222222232</v>
      </c>
    </row>
    <row r="208" spans="1:21" x14ac:dyDescent="0.25">
      <c r="A208" t="s">
        <v>428</v>
      </c>
      <c r="B208" s="1">
        <v>45789</v>
      </c>
      <c r="C208" t="s">
        <v>88</v>
      </c>
      <c r="D208" t="s">
        <v>169</v>
      </c>
      <c r="E208" t="s">
        <v>62</v>
      </c>
      <c r="F208" t="s">
        <v>63</v>
      </c>
      <c r="G208" t="s">
        <v>64</v>
      </c>
      <c r="H208" t="s">
        <v>32</v>
      </c>
      <c r="I208" t="s">
        <v>53</v>
      </c>
      <c r="J208">
        <v>1</v>
      </c>
      <c r="K208">
        <v>8500</v>
      </c>
      <c r="L208">
        <v>10</v>
      </c>
      <c r="M208">
        <v>7650</v>
      </c>
      <c r="N208">
        <v>5950</v>
      </c>
      <c r="O208">
        <v>1700</v>
      </c>
      <c r="P208" t="s">
        <v>25</v>
      </c>
      <c r="Q208" t="s">
        <v>33</v>
      </c>
      <c r="R208" t="str">
        <f>TEXT(SalesData[[#This Row],[Order Date]],"mmm")</f>
        <v>May</v>
      </c>
      <c r="S208" s="2" t="str">
        <f>"Q"&amp;ROUNDUP(MONTH(SalesData[[#This Row],[Order Date]])/3,0)</f>
        <v>Q2</v>
      </c>
      <c r="T208">
        <f>YEAR(SalesData[[#This Row],[Order Date]])</f>
        <v>2025</v>
      </c>
      <c r="U208">
        <f>SalesData[[#This Row],[Profit]]/SalesData[[#This Row],[Sales]]</f>
        <v>0.22222222222222221</v>
      </c>
    </row>
    <row r="209" spans="1:21" x14ac:dyDescent="0.25">
      <c r="A209" t="s">
        <v>429</v>
      </c>
      <c r="B209" s="1">
        <v>45835</v>
      </c>
      <c r="C209" t="s">
        <v>268</v>
      </c>
      <c r="D209" t="s">
        <v>317</v>
      </c>
      <c r="E209" t="s">
        <v>50</v>
      </c>
      <c r="F209" t="s">
        <v>51</v>
      </c>
      <c r="G209" t="s">
        <v>52</v>
      </c>
      <c r="H209" t="s">
        <v>32</v>
      </c>
      <c r="I209" t="s">
        <v>72</v>
      </c>
      <c r="J209">
        <v>9</v>
      </c>
      <c r="K209">
        <v>3200</v>
      </c>
      <c r="L209">
        <v>0</v>
      </c>
      <c r="M209">
        <v>28800</v>
      </c>
      <c r="N209">
        <v>20160</v>
      </c>
      <c r="O209">
        <v>8640</v>
      </c>
      <c r="P209" t="s">
        <v>25</v>
      </c>
      <c r="Q209" t="s">
        <v>33</v>
      </c>
      <c r="R209" t="str">
        <f>TEXT(SalesData[[#This Row],[Order Date]],"mmm")</f>
        <v>Jun</v>
      </c>
      <c r="S209" s="2" t="str">
        <f>"Q"&amp;ROUNDUP(MONTH(SalesData[[#This Row],[Order Date]])/3,0)</f>
        <v>Q2</v>
      </c>
      <c r="T209">
        <f>YEAR(SalesData[[#This Row],[Order Date]])</f>
        <v>2025</v>
      </c>
      <c r="U209">
        <f>SalesData[[#This Row],[Profit]]/SalesData[[#This Row],[Sales]]</f>
        <v>0.3</v>
      </c>
    </row>
    <row r="210" spans="1:21" x14ac:dyDescent="0.25">
      <c r="A210" t="s">
        <v>430</v>
      </c>
      <c r="B210" s="1">
        <v>45938</v>
      </c>
      <c r="C210" t="s">
        <v>216</v>
      </c>
      <c r="D210" t="s">
        <v>153</v>
      </c>
      <c r="E210" t="s">
        <v>62</v>
      </c>
      <c r="F210" t="s">
        <v>63</v>
      </c>
      <c r="G210" t="s">
        <v>64</v>
      </c>
      <c r="H210" t="s">
        <v>32</v>
      </c>
      <c r="I210" t="s">
        <v>53</v>
      </c>
      <c r="J210">
        <v>2</v>
      </c>
      <c r="K210">
        <v>8500</v>
      </c>
      <c r="L210">
        <v>15</v>
      </c>
      <c r="M210">
        <v>14450</v>
      </c>
      <c r="N210">
        <v>11900</v>
      </c>
      <c r="O210">
        <v>2550</v>
      </c>
      <c r="P210" t="s">
        <v>54</v>
      </c>
      <c r="Q210" t="s">
        <v>26</v>
      </c>
      <c r="R210" t="str">
        <f>TEXT(SalesData[[#This Row],[Order Date]],"mmm")</f>
        <v>Oct</v>
      </c>
      <c r="S210" s="2" t="str">
        <f>"Q"&amp;ROUNDUP(MONTH(SalesData[[#This Row],[Order Date]])/3,0)</f>
        <v>Q4</v>
      </c>
      <c r="T210">
        <f>YEAR(SalesData[[#This Row],[Order Date]])</f>
        <v>2025</v>
      </c>
      <c r="U210">
        <f>SalesData[[#This Row],[Profit]]/SalesData[[#This Row],[Sales]]</f>
        <v>0.17647058823529413</v>
      </c>
    </row>
    <row r="211" spans="1:21" x14ac:dyDescent="0.25">
      <c r="A211" t="s">
        <v>431</v>
      </c>
      <c r="B211" s="1">
        <v>46015</v>
      </c>
      <c r="C211" t="s">
        <v>56</v>
      </c>
      <c r="D211" t="s">
        <v>224</v>
      </c>
      <c r="E211" t="s">
        <v>44</v>
      </c>
      <c r="F211" t="s">
        <v>45</v>
      </c>
      <c r="G211" t="s">
        <v>22</v>
      </c>
      <c r="H211" t="s">
        <v>46</v>
      </c>
      <c r="I211" t="s">
        <v>24</v>
      </c>
      <c r="J211">
        <v>5</v>
      </c>
      <c r="K211">
        <v>9500</v>
      </c>
      <c r="L211">
        <v>5</v>
      </c>
      <c r="M211">
        <v>45125</v>
      </c>
      <c r="N211">
        <v>33250</v>
      </c>
      <c r="O211">
        <v>11875</v>
      </c>
      <c r="P211" t="s">
        <v>25</v>
      </c>
      <c r="Q211" t="s">
        <v>26</v>
      </c>
      <c r="R211" t="str">
        <f>TEXT(SalesData[[#This Row],[Order Date]],"mmm")</f>
        <v>Dec</v>
      </c>
      <c r="S211" s="2" t="str">
        <f>"Q"&amp;ROUNDUP(MONTH(SalesData[[#This Row],[Order Date]])/3,0)</f>
        <v>Q4</v>
      </c>
      <c r="T211">
        <f>YEAR(SalesData[[#This Row],[Order Date]])</f>
        <v>2025</v>
      </c>
      <c r="U211">
        <f>SalesData[[#This Row],[Profit]]/SalesData[[#This Row],[Sales]]</f>
        <v>0.26315789473684209</v>
      </c>
    </row>
    <row r="212" spans="1:21" x14ac:dyDescent="0.25">
      <c r="A212" t="s">
        <v>432</v>
      </c>
      <c r="B212" s="1">
        <v>45963</v>
      </c>
      <c r="C212" t="s">
        <v>182</v>
      </c>
      <c r="D212" t="s">
        <v>342</v>
      </c>
      <c r="E212" t="s">
        <v>70</v>
      </c>
      <c r="F212" t="s">
        <v>71</v>
      </c>
      <c r="G212" t="s">
        <v>22</v>
      </c>
      <c r="H212" t="s">
        <v>23</v>
      </c>
      <c r="I212" t="s">
        <v>66</v>
      </c>
      <c r="J212">
        <v>2</v>
      </c>
      <c r="K212">
        <v>1500</v>
      </c>
      <c r="L212">
        <v>0</v>
      </c>
      <c r="M212">
        <v>3000</v>
      </c>
      <c r="N212">
        <v>2100</v>
      </c>
      <c r="O212">
        <v>900</v>
      </c>
      <c r="P212" t="s">
        <v>54</v>
      </c>
      <c r="Q212" t="s">
        <v>26</v>
      </c>
      <c r="R212" t="str">
        <f>TEXT(SalesData[[#This Row],[Order Date]],"mmm")</f>
        <v>Nov</v>
      </c>
      <c r="S212" s="2" t="str">
        <f>"Q"&amp;ROUNDUP(MONTH(SalesData[[#This Row],[Order Date]])/3,0)</f>
        <v>Q4</v>
      </c>
      <c r="T212">
        <f>YEAR(SalesData[[#This Row],[Order Date]])</f>
        <v>2025</v>
      </c>
      <c r="U212">
        <f>SalesData[[#This Row],[Profit]]/SalesData[[#This Row],[Sales]]</f>
        <v>0.3</v>
      </c>
    </row>
    <row r="213" spans="1:21" x14ac:dyDescent="0.25">
      <c r="A213" t="s">
        <v>433</v>
      </c>
      <c r="B213" s="1">
        <v>45767</v>
      </c>
      <c r="C213" t="s">
        <v>88</v>
      </c>
      <c r="D213" t="s">
        <v>164</v>
      </c>
      <c r="E213" t="s">
        <v>44</v>
      </c>
      <c r="F213" t="s">
        <v>45</v>
      </c>
      <c r="G213" t="s">
        <v>22</v>
      </c>
      <c r="H213" t="s">
        <v>46</v>
      </c>
      <c r="I213" t="s">
        <v>72</v>
      </c>
      <c r="J213">
        <v>8</v>
      </c>
      <c r="K213">
        <v>9500</v>
      </c>
      <c r="L213">
        <v>10</v>
      </c>
      <c r="M213">
        <v>68400</v>
      </c>
      <c r="N213">
        <v>53200</v>
      </c>
      <c r="O213">
        <v>15200</v>
      </c>
      <c r="P213" t="s">
        <v>58</v>
      </c>
      <c r="Q213" t="s">
        <v>26</v>
      </c>
      <c r="R213" t="str">
        <f>TEXT(SalesData[[#This Row],[Order Date]],"mmm")</f>
        <v>Apr</v>
      </c>
      <c r="S213" s="2" t="str">
        <f>"Q"&amp;ROUNDUP(MONTH(SalesData[[#This Row],[Order Date]])/3,0)</f>
        <v>Q2</v>
      </c>
      <c r="T213">
        <f>YEAR(SalesData[[#This Row],[Order Date]])</f>
        <v>2025</v>
      </c>
      <c r="U213">
        <f>SalesData[[#This Row],[Profit]]/SalesData[[#This Row],[Sales]]</f>
        <v>0.22222222222222221</v>
      </c>
    </row>
    <row r="214" spans="1:21" x14ac:dyDescent="0.25">
      <c r="A214" t="s">
        <v>434</v>
      </c>
      <c r="B214" s="1">
        <v>45762</v>
      </c>
      <c r="C214" t="s">
        <v>435</v>
      </c>
      <c r="D214" t="s">
        <v>408</v>
      </c>
      <c r="E214" t="s">
        <v>50</v>
      </c>
      <c r="F214" t="s">
        <v>51</v>
      </c>
      <c r="G214" t="s">
        <v>52</v>
      </c>
      <c r="H214" t="s">
        <v>46</v>
      </c>
      <c r="I214" t="s">
        <v>72</v>
      </c>
      <c r="J214">
        <v>3</v>
      </c>
      <c r="K214">
        <v>3200</v>
      </c>
      <c r="L214">
        <v>10</v>
      </c>
      <c r="M214">
        <v>8640</v>
      </c>
      <c r="N214">
        <v>6720</v>
      </c>
      <c r="O214">
        <v>1920</v>
      </c>
      <c r="P214" t="s">
        <v>25</v>
      </c>
      <c r="Q214" t="s">
        <v>33</v>
      </c>
      <c r="R214" t="str">
        <f>TEXT(SalesData[[#This Row],[Order Date]],"mmm")</f>
        <v>Apr</v>
      </c>
      <c r="S214" s="2" t="str">
        <f>"Q"&amp;ROUNDUP(MONTH(SalesData[[#This Row],[Order Date]])/3,0)</f>
        <v>Q2</v>
      </c>
      <c r="T214">
        <f>YEAR(SalesData[[#This Row],[Order Date]])</f>
        <v>2025</v>
      </c>
      <c r="U214">
        <f>SalesData[[#This Row],[Profit]]/SalesData[[#This Row],[Sales]]</f>
        <v>0.22222222222222221</v>
      </c>
    </row>
    <row r="215" spans="1:21" x14ac:dyDescent="0.25">
      <c r="A215" t="s">
        <v>436</v>
      </c>
      <c r="B215" s="1">
        <v>45952</v>
      </c>
      <c r="C215" t="s">
        <v>91</v>
      </c>
      <c r="D215" t="s">
        <v>166</v>
      </c>
      <c r="E215" t="s">
        <v>50</v>
      </c>
      <c r="F215" t="s">
        <v>51</v>
      </c>
      <c r="G215" t="s">
        <v>52</v>
      </c>
      <c r="H215" t="s">
        <v>65</v>
      </c>
      <c r="I215" t="s">
        <v>24</v>
      </c>
      <c r="J215">
        <v>8</v>
      </c>
      <c r="K215">
        <v>3200</v>
      </c>
      <c r="L215">
        <v>10</v>
      </c>
      <c r="M215">
        <v>23040</v>
      </c>
      <c r="N215">
        <v>17920</v>
      </c>
      <c r="O215">
        <v>5120</v>
      </c>
      <c r="P215" t="s">
        <v>54</v>
      </c>
      <c r="Q215" t="s">
        <v>33</v>
      </c>
      <c r="R215" t="str">
        <f>TEXT(SalesData[[#This Row],[Order Date]],"mmm")</f>
        <v>Oct</v>
      </c>
      <c r="S215" s="2" t="str">
        <f>"Q"&amp;ROUNDUP(MONTH(SalesData[[#This Row],[Order Date]])/3,0)</f>
        <v>Q4</v>
      </c>
      <c r="T215">
        <f>YEAR(SalesData[[#This Row],[Order Date]])</f>
        <v>2025</v>
      </c>
      <c r="U215">
        <f>SalesData[[#This Row],[Profit]]/SalesData[[#This Row],[Sales]]</f>
        <v>0.22222222222222221</v>
      </c>
    </row>
    <row r="216" spans="1:21" x14ac:dyDescent="0.25">
      <c r="A216" t="s">
        <v>437</v>
      </c>
      <c r="B216" s="1">
        <v>45828</v>
      </c>
      <c r="C216" t="s">
        <v>219</v>
      </c>
      <c r="D216" t="s">
        <v>191</v>
      </c>
      <c r="E216" t="s">
        <v>44</v>
      </c>
      <c r="F216" t="s">
        <v>45</v>
      </c>
      <c r="G216" t="s">
        <v>22</v>
      </c>
      <c r="H216" t="s">
        <v>65</v>
      </c>
      <c r="I216" t="s">
        <v>66</v>
      </c>
      <c r="J216">
        <v>5</v>
      </c>
      <c r="K216">
        <v>9500</v>
      </c>
      <c r="L216">
        <v>20</v>
      </c>
      <c r="M216">
        <v>38000</v>
      </c>
      <c r="N216">
        <v>33250</v>
      </c>
      <c r="O216">
        <v>4750</v>
      </c>
      <c r="P216" t="s">
        <v>40</v>
      </c>
      <c r="Q216" t="s">
        <v>33</v>
      </c>
      <c r="R216" t="str">
        <f>TEXT(SalesData[[#This Row],[Order Date]],"mmm")</f>
        <v>Jun</v>
      </c>
      <c r="S216" s="2" t="str">
        <f>"Q"&amp;ROUNDUP(MONTH(SalesData[[#This Row],[Order Date]])/3,0)</f>
        <v>Q2</v>
      </c>
      <c r="T216">
        <f>YEAR(SalesData[[#This Row],[Order Date]])</f>
        <v>2025</v>
      </c>
      <c r="U216">
        <f>SalesData[[#This Row],[Profit]]/SalesData[[#This Row],[Sales]]</f>
        <v>0.125</v>
      </c>
    </row>
    <row r="217" spans="1:21" x14ac:dyDescent="0.25">
      <c r="A217" t="s">
        <v>438</v>
      </c>
      <c r="B217" s="1">
        <v>45821</v>
      </c>
      <c r="C217" t="s">
        <v>370</v>
      </c>
      <c r="D217" t="s">
        <v>97</v>
      </c>
      <c r="E217" t="s">
        <v>20</v>
      </c>
      <c r="F217" t="s">
        <v>21</v>
      </c>
      <c r="G217" t="s">
        <v>22</v>
      </c>
      <c r="H217" t="s">
        <v>46</v>
      </c>
      <c r="I217" t="s">
        <v>66</v>
      </c>
      <c r="J217">
        <v>9</v>
      </c>
      <c r="K217">
        <v>3500</v>
      </c>
      <c r="L217">
        <v>10</v>
      </c>
      <c r="M217">
        <v>28350</v>
      </c>
      <c r="N217">
        <v>22050</v>
      </c>
      <c r="O217">
        <v>6300</v>
      </c>
      <c r="P217" t="s">
        <v>58</v>
      </c>
      <c r="Q217" t="s">
        <v>76</v>
      </c>
      <c r="R217" t="str">
        <f>TEXT(SalesData[[#This Row],[Order Date]],"mmm")</f>
        <v>Jun</v>
      </c>
      <c r="S217" s="2" t="str">
        <f>"Q"&amp;ROUNDUP(MONTH(SalesData[[#This Row],[Order Date]])/3,0)</f>
        <v>Q2</v>
      </c>
      <c r="T217">
        <f>YEAR(SalesData[[#This Row],[Order Date]])</f>
        <v>2025</v>
      </c>
      <c r="U217">
        <f>SalesData[[#This Row],[Profit]]/SalesData[[#This Row],[Sales]]</f>
        <v>0.22222222222222221</v>
      </c>
    </row>
    <row r="218" spans="1:21" x14ac:dyDescent="0.25">
      <c r="A218" t="s">
        <v>439</v>
      </c>
      <c r="B218" s="1">
        <v>45696</v>
      </c>
      <c r="C218" t="s">
        <v>280</v>
      </c>
      <c r="D218" t="s">
        <v>358</v>
      </c>
      <c r="E218" t="s">
        <v>30</v>
      </c>
      <c r="F218" t="s">
        <v>31</v>
      </c>
      <c r="G218" t="s">
        <v>22</v>
      </c>
      <c r="H218" t="s">
        <v>46</v>
      </c>
      <c r="I218" t="s">
        <v>66</v>
      </c>
      <c r="J218">
        <v>9</v>
      </c>
      <c r="K218">
        <v>800</v>
      </c>
      <c r="L218">
        <v>0</v>
      </c>
      <c r="M218">
        <v>7200</v>
      </c>
      <c r="N218">
        <v>5040</v>
      </c>
      <c r="O218">
        <v>2160</v>
      </c>
      <c r="P218" t="s">
        <v>58</v>
      </c>
      <c r="Q218" t="s">
        <v>26</v>
      </c>
      <c r="R218" t="str">
        <f>TEXT(SalesData[[#This Row],[Order Date]],"mmm")</f>
        <v>Feb</v>
      </c>
      <c r="S218" s="2" t="str">
        <f>"Q"&amp;ROUNDUP(MONTH(SalesData[[#This Row],[Order Date]])/3,0)</f>
        <v>Q1</v>
      </c>
      <c r="T218">
        <f>YEAR(SalesData[[#This Row],[Order Date]])</f>
        <v>2025</v>
      </c>
      <c r="U218">
        <f>SalesData[[#This Row],[Profit]]/SalesData[[#This Row],[Sales]]</f>
        <v>0.3</v>
      </c>
    </row>
    <row r="219" spans="1:21" x14ac:dyDescent="0.25">
      <c r="A219" t="s">
        <v>440</v>
      </c>
      <c r="B219" s="1">
        <v>45755</v>
      </c>
      <c r="C219" t="s">
        <v>273</v>
      </c>
      <c r="D219" t="s">
        <v>75</v>
      </c>
      <c r="E219" t="s">
        <v>70</v>
      </c>
      <c r="F219" t="s">
        <v>71</v>
      </c>
      <c r="G219" t="s">
        <v>22</v>
      </c>
      <c r="H219" t="s">
        <v>23</v>
      </c>
      <c r="I219" t="s">
        <v>39</v>
      </c>
      <c r="J219">
        <v>10</v>
      </c>
      <c r="K219">
        <v>1500</v>
      </c>
      <c r="L219">
        <v>20</v>
      </c>
      <c r="M219">
        <v>12000</v>
      </c>
      <c r="N219">
        <v>10500</v>
      </c>
      <c r="O219">
        <v>1500</v>
      </c>
      <c r="P219" t="s">
        <v>25</v>
      </c>
      <c r="Q219" t="s">
        <v>76</v>
      </c>
      <c r="R219" t="str">
        <f>TEXT(SalesData[[#This Row],[Order Date]],"mmm")</f>
        <v>Apr</v>
      </c>
      <c r="S219" s="2" t="str">
        <f>"Q"&amp;ROUNDUP(MONTH(SalesData[[#This Row],[Order Date]])/3,0)</f>
        <v>Q2</v>
      </c>
      <c r="T219">
        <f>YEAR(SalesData[[#This Row],[Order Date]])</f>
        <v>2025</v>
      </c>
      <c r="U219">
        <f>SalesData[[#This Row],[Profit]]/SalesData[[#This Row],[Sales]]</f>
        <v>0.125</v>
      </c>
    </row>
    <row r="220" spans="1:21" x14ac:dyDescent="0.25">
      <c r="A220" t="s">
        <v>441</v>
      </c>
      <c r="B220" s="1">
        <v>45959</v>
      </c>
      <c r="C220" t="s">
        <v>442</v>
      </c>
      <c r="D220" t="s">
        <v>281</v>
      </c>
      <c r="E220" t="s">
        <v>20</v>
      </c>
      <c r="F220" t="s">
        <v>21</v>
      </c>
      <c r="G220" t="s">
        <v>22</v>
      </c>
      <c r="H220" t="s">
        <v>65</v>
      </c>
      <c r="I220" t="s">
        <v>39</v>
      </c>
      <c r="J220">
        <v>8</v>
      </c>
      <c r="K220">
        <v>3500</v>
      </c>
      <c r="L220">
        <v>15</v>
      </c>
      <c r="M220">
        <v>23800</v>
      </c>
      <c r="N220">
        <v>19600</v>
      </c>
      <c r="O220">
        <v>4200</v>
      </c>
      <c r="P220" t="s">
        <v>25</v>
      </c>
      <c r="Q220" t="s">
        <v>26</v>
      </c>
      <c r="R220" t="str">
        <f>TEXT(SalesData[[#This Row],[Order Date]],"mmm")</f>
        <v>Oct</v>
      </c>
      <c r="S220" s="2" t="str">
        <f>"Q"&amp;ROUNDUP(MONTH(SalesData[[#This Row],[Order Date]])/3,0)</f>
        <v>Q4</v>
      </c>
      <c r="T220">
        <f>YEAR(SalesData[[#This Row],[Order Date]])</f>
        <v>2025</v>
      </c>
      <c r="U220">
        <f>SalesData[[#This Row],[Profit]]/SalesData[[#This Row],[Sales]]</f>
        <v>0.17647058823529413</v>
      </c>
    </row>
    <row r="221" spans="1:21" x14ac:dyDescent="0.25">
      <c r="A221" t="s">
        <v>443</v>
      </c>
      <c r="B221" s="1">
        <v>45985</v>
      </c>
      <c r="C221" t="s">
        <v>265</v>
      </c>
      <c r="D221" t="s">
        <v>444</v>
      </c>
      <c r="E221" t="s">
        <v>70</v>
      </c>
      <c r="F221" t="s">
        <v>71</v>
      </c>
      <c r="G221" t="s">
        <v>22</v>
      </c>
      <c r="H221" t="s">
        <v>32</v>
      </c>
      <c r="I221" t="s">
        <v>72</v>
      </c>
      <c r="J221">
        <v>5</v>
      </c>
      <c r="K221">
        <v>1500</v>
      </c>
      <c r="L221">
        <v>10</v>
      </c>
      <c r="M221">
        <v>6750</v>
      </c>
      <c r="N221">
        <v>5250</v>
      </c>
      <c r="O221">
        <v>1500</v>
      </c>
      <c r="P221" t="s">
        <v>40</v>
      </c>
      <c r="Q221" t="s">
        <v>76</v>
      </c>
      <c r="R221" t="str">
        <f>TEXT(SalesData[[#This Row],[Order Date]],"mmm")</f>
        <v>Nov</v>
      </c>
      <c r="S221" s="2" t="str">
        <f>"Q"&amp;ROUNDUP(MONTH(SalesData[[#This Row],[Order Date]])/3,0)</f>
        <v>Q4</v>
      </c>
      <c r="T221">
        <f>YEAR(SalesData[[#This Row],[Order Date]])</f>
        <v>2025</v>
      </c>
      <c r="U221">
        <f>SalesData[[#This Row],[Profit]]/SalesData[[#This Row],[Sales]]</f>
        <v>0.22222222222222221</v>
      </c>
    </row>
    <row r="222" spans="1:21" x14ac:dyDescent="0.25">
      <c r="A222" t="s">
        <v>445</v>
      </c>
      <c r="B222" s="1">
        <v>45714</v>
      </c>
      <c r="C222" t="s">
        <v>283</v>
      </c>
      <c r="D222" t="s">
        <v>446</v>
      </c>
      <c r="E222" t="s">
        <v>20</v>
      </c>
      <c r="F222" t="s">
        <v>21</v>
      </c>
      <c r="G222" t="s">
        <v>22</v>
      </c>
      <c r="H222" t="s">
        <v>32</v>
      </c>
      <c r="I222" t="s">
        <v>39</v>
      </c>
      <c r="J222">
        <v>4</v>
      </c>
      <c r="K222">
        <v>3500</v>
      </c>
      <c r="L222">
        <v>5</v>
      </c>
      <c r="M222">
        <v>13300</v>
      </c>
      <c r="N222">
        <v>9800</v>
      </c>
      <c r="O222">
        <v>3500</v>
      </c>
      <c r="P222" t="s">
        <v>25</v>
      </c>
      <c r="Q222" t="s">
        <v>76</v>
      </c>
      <c r="R222" t="str">
        <f>TEXT(SalesData[[#This Row],[Order Date]],"mmm")</f>
        <v>Feb</v>
      </c>
      <c r="S222" s="2" t="str">
        <f>"Q"&amp;ROUNDUP(MONTH(SalesData[[#This Row],[Order Date]])/3,0)</f>
        <v>Q1</v>
      </c>
      <c r="T222">
        <f>YEAR(SalesData[[#This Row],[Order Date]])</f>
        <v>2025</v>
      </c>
      <c r="U222">
        <f>SalesData[[#This Row],[Profit]]/SalesData[[#This Row],[Sales]]</f>
        <v>0.26315789473684209</v>
      </c>
    </row>
    <row r="223" spans="1:21" x14ac:dyDescent="0.25">
      <c r="A223" t="s">
        <v>447</v>
      </c>
      <c r="B223" s="1">
        <v>45975</v>
      </c>
      <c r="C223" t="s">
        <v>448</v>
      </c>
      <c r="D223" t="s">
        <v>119</v>
      </c>
      <c r="E223" t="s">
        <v>70</v>
      </c>
      <c r="F223" t="s">
        <v>71</v>
      </c>
      <c r="G223" t="s">
        <v>22</v>
      </c>
      <c r="H223" t="s">
        <v>65</v>
      </c>
      <c r="I223" t="s">
        <v>53</v>
      </c>
      <c r="J223">
        <v>3</v>
      </c>
      <c r="K223">
        <v>1500</v>
      </c>
      <c r="L223">
        <v>20</v>
      </c>
      <c r="M223">
        <v>3600</v>
      </c>
      <c r="N223">
        <v>3150</v>
      </c>
      <c r="O223">
        <v>450</v>
      </c>
      <c r="P223" t="s">
        <v>25</v>
      </c>
      <c r="Q223" t="s">
        <v>26</v>
      </c>
      <c r="R223" t="str">
        <f>TEXT(SalesData[[#This Row],[Order Date]],"mmm")</f>
        <v>Nov</v>
      </c>
      <c r="S223" s="2" t="str">
        <f>"Q"&amp;ROUNDUP(MONTH(SalesData[[#This Row],[Order Date]])/3,0)</f>
        <v>Q4</v>
      </c>
      <c r="T223">
        <f>YEAR(SalesData[[#This Row],[Order Date]])</f>
        <v>2025</v>
      </c>
      <c r="U223">
        <f>SalesData[[#This Row],[Profit]]/SalesData[[#This Row],[Sales]]</f>
        <v>0.125</v>
      </c>
    </row>
    <row r="224" spans="1:21" x14ac:dyDescent="0.25">
      <c r="A224" t="s">
        <v>449</v>
      </c>
      <c r="B224" s="1">
        <v>45786</v>
      </c>
      <c r="C224" t="s">
        <v>176</v>
      </c>
      <c r="D224" t="s">
        <v>179</v>
      </c>
      <c r="E224" t="s">
        <v>50</v>
      </c>
      <c r="F224" t="s">
        <v>51</v>
      </c>
      <c r="G224" t="s">
        <v>52</v>
      </c>
      <c r="H224" t="s">
        <v>32</v>
      </c>
      <c r="I224" t="s">
        <v>24</v>
      </c>
      <c r="J224">
        <v>5</v>
      </c>
      <c r="K224">
        <v>3200</v>
      </c>
      <c r="L224">
        <v>15</v>
      </c>
      <c r="M224">
        <v>13600</v>
      </c>
      <c r="N224">
        <v>11200</v>
      </c>
      <c r="O224">
        <v>2400</v>
      </c>
      <c r="P224" t="s">
        <v>58</v>
      </c>
      <c r="Q224" t="s">
        <v>76</v>
      </c>
      <c r="R224" t="str">
        <f>TEXT(SalesData[[#This Row],[Order Date]],"mmm")</f>
        <v>May</v>
      </c>
      <c r="S224" s="2" t="str">
        <f>"Q"&amp;ROUNDUP(MONTH(SalesData[[#This Row],[Order Date]])/3,0)</f>
        <v>Q2</v>
      </c>
      <c r="T224">
        <f>YEAR(SalesData[[#This Row],[Order Date]])</f>
        <v>2025</v>
      </c>
      <c r="U224">
        <f>SalesData[[#This Row],[Profit]]/SalesData[[#This Row],[Sales]]</f>
        <v>0.17647058823529413</v>
      </c>
    </row>
    <row r="225" spans="1:21" x14ac:dyDescent="0.25">
      <c r="A225" t="s">
        <v>450</v>
      </c>
      <c r="B225" s="1">
        <v>46008</v>
      </c>
      <c r="C225" t="s">
        <v>381</v>
      </c>
      <c r="D225" t="s">
        <v>174</v>
      </c>
      <c r="E225" t="s">
        <v>20</v>
      </c>
      <c r="F225" t="s">
        <v>21</v>
      </c>
      <c r="G225" t="s">
        <v>22</v>
      </c>
      <c r="H225" t="s">
        <v>65</v>
      </c>
      <c r="I225" t="s">
        <v>80</v>
      </c>
      <c r="J225">
        <v>9</v>
      </c>
      <c r="K225">
        <v>3500</v>
      </c>
      <c r="L225">
        <v>15</v>
      </c>
      <c r="M225">
        <v>26775</v>
      </c>
      <c r="N225">
        <v>22050</v>
      </c>
      <c r="O225">
        <v>4725</v>
      </c>
      <c r="P225" t="s">
        <v>25</v>
      </c>
      <c r="Q225" t="s">
        <v>26</v>
      </c>
      <c r="R225" t="str">
        <f>TEXT(SalesData[[#This Row],[Order Date]],"mmm")</f>
        <v>Dec</v>
      </c>
      <c r="S225" s="2" t="str">
        <f>"Q"&amp;ROUNDUP(MONTH(SalesData[[#This Row],[Order Date]])/3,0)</f>
        <v>Q4</v>
      </c>
      <c r="T225">
        <f>YEAR(SalesData[[#This Row],[Order Date]])</f>
        <v>2025</v>
      </c>
      <c r="U225">
        <f>SalesData[[#This Row],[Profit]]/SalesData[[#This Row],[Sales]]</f>
        <v>0.17647058823529413</v>
      </c>
    </row>
    <row r="226" spans="1:21" x14ac:dyDescent="0.25">
      <c r="A226" t="s">
        <v>451</v>
      </c>
      <c r="B226" s="1">
        <v>45894</v>
      </c>
      <c r="C226" t="s">
        <v>435</v>
      </c>
      <c r="D226" t="s">
        <v>79</v>
      </c>
      <c r="E226" t="s">
        <v>62</v>
      </c>
      <c r="F226" t="s">
        <v>63</v>
      </c>
      <c r="G226" t="s">
        <v>64</v>
      </c>
      <c r="H226" t="s">
        <v>65</v>
      </c>
      <c r="I226" t="s">
        <v>53</v>
      </c>
      <c r="J226">
        <v>3</v>
      </c>
      <c r="K226">
        <v>8500</v>
      </c>
      <c r="L226">
        <v>20</v>
      </c>
      <c r="M226">
        <v>20400</v>
      </c>
      <c r="N226">
        <v>17850</v>
      </c>
      <c r="O226">
        <v>2550</v>
      </c>
      <c r="P226" t="s">
        <v>54</v>
      </c>
      <c r="Q226" t="s">
        <v>26</v>
      </c>
      <c r="R226" t="str">
        <f>TEXT(SalesData[[#This Row],[Order Date]],"mmm")</f>
        <v>Aug</v>
      </c>
      <c r="S226" s="2" t="str">
        <f>"Q"&amp;ROUNDUP(MONTH(SalesData[[#This Row],[Order Date]])/3,0)</f>
        <v>Q3</v>
      </c>
      <c r="T226">
        <f>YEAR(SalesData[[#This Row],[Order Date]])</f>
        <v>2025</v>
      </c>
      <c r="U226">
        <f>SalesData[[#This Row],[Profit]]/SalesData[[#This Row],[Sales]]</f>
        <v>0.125</v>
      </c>
    </row>
    <row r="227" spans="1:21" x14ac:dyDescent="0.25">
      <c r="A227" t="s">
        <v>452</v>
      </c>
      <c r="B227" s="1">
        <v>45952</v>
      </c>
      <c r="C227" t="s">
        <v>283</v>
      </c>
      <c r="D227" t="s">
        <v>19</v>
      </c>
      <c r="E227" t="s">
        <v>62</v>
      </c>
      <c r="F227" t="s">
        <v>63</v>
      </c>
      <c r="G227" t="s">
        <v>64</v>
      </c>
      <c r="H227" t="s">
        <v>23</v>
      </c>
      <c r="I227" t="s">
        <v>66</v>
      </c>
      <c r="J227">
        <v>6</v>
      </c>
      <c r="K227">
        <v>8500</v>
      </c>
      <c r="L227">
        <v>10</v>
      </c>
      <c r="M227">
        <v>45900</v>
      </c>
      <c r="N227">
        <v>35700</v>
      </c>
      <c r="O227">
        <v>10200</v>
      </c>
      <c r="P227" t="s">
        <v>25</v>
      </c>
      <c r="Q227" t="s">
        <v>26</v>
      </c>
      <c r="R227" t="str">
        <f>TEXT(SalesData[[#This Row],[Order Date]],"mmm")</f>
        <v>Oct</v>
      </c>
      <c r="S227" s="2" t="str">
        <f>"Q"&amp;ROUNDUP(MONTH(SalesData[[#This Row],[Order Date]])/3,0)</f>
        <v>Q4</v>
      </c>
      <c r="T227">
        <f>YEAR(SalesData[[#This Row],[Order Date]])</f>
        <v>2025</v>
      </c>
      <c r="U227">
        <f>SalesData[[#This Row],[Profit]]/SalesData[[#This Row],[Sales]]</f>
        <v>0.22222222222222221</v>
      </c>
    </row>
    <row r="228" spans="1:21" x14ac:dyDescent="0.25">
      <c r="A228" t="s">
        <v>453</v>
      </c>
      <c r="B228" s="1">
        <v>45752</v>
      </c>
      <c r="C228" t="s">
        <v>115</v>
      </c>
      <c r="D228" t="s">
        <v>240</v>
      </c>
      <c r="E228" t="s">
        <v>50</v>
      </c>
      <c r="F228" t="s">
        <v>51</v>
      </c>
      <c r="G228" t="s">
        <v>52</v>
      </c>
      <c r="H228" t="s">
        <v>46</v>
      </c>
      <c r="I228" t="s">
        <v>53</v>
      </c>
      <c r="J228">
        <v>2</v>
      </c>
      <c r="K228">
        <v>3200</v>
      </c>
      <c r="L228">
        <v>5</v>
      </c>
      <c r="M228">
        <v>6080</v>
      </c>
      <c r="N228">
        <v>4480</v>
      </c>
      <c r="O228">
        <v>1600</v>
      </c>
      <c r="P228" t="s">
        <v>25</v>
      </c>
      <c r="Q228" t="s">
        <v>33</v>
      </c>
      <c r="R228" t="str">
        <f>TEXT(SalesData[[#This Row],[Order Date]],"mmm")</f>
        <v>Apr</v>
      </c>
      <c r="S228" s="2" t="str">
        <f>"Q"&amp;ROUNDUP(MONTH(SalesData[[#This Row],[Order Date]])/3,0)</f>
        <v>Q2</v>
      </c>
      <c r="T228">
        <f>YEAR(SalesData[[#This Row],[Order Date]])</f>
        <v>2025</v>
      </c>
      <c r="U228">
        <f>SalesData[[#This Row],[Profit]]/SalesData[[#This Row],[Sales]]</f>
        <v>0.26315789473684209</v>
      </c>
    </row>
    <row r="229" spans="1:21" x14ac:dyDescent="0.25">
      <c r="A229" t="s">
        <v>454</v>
      </c>
      <c r="B229" s="1">
        <v>46009</v>
      </c>
      <c r="C229" t="s">
        <v>28</v>
      </c>
      <c r="D229" t="s">
        <v>139</v>
      </c>
      <c r="E229" t="s">
        <v>50</v>
      </c>
      <c r="F229" t="s">
        <v>51</v>
      </c>
      <c r="G229" t="s">
        <v>52</v>
      </c>
      <c r="H229" t="s">
        <v>65</v>
      </c>
      <c r="I229" t="s">
        <v>66</v>
      </c>
      <c r="J229">
        <v>3</v>
      </c>
      <c r="K229">
        <v>3200</v>
      </c>
      <c r="L229">
        <v>10</v>
      </c>
      <c r="M229">
        <v>8640</v>
      </c>
      <c r="N229">
        <v>6720</v>
      </c>
      <c r="O229">
        <v>1920</v>
      </c>
      <c r="P229" t="s">
        <v>25</v>
      </c>
      <c r="Q229" t="s">
        <v>33</v>
      </c>
      <c r="R229" t="str">
        <f>TEXT(SalesData[[#This Row],[Order Date]],"mmm")</f>
        <v>Dec</v>
      </c>
      <c r="S229" s="2" t="str">
        <f>"Q"&amp;ROUNDUP(MONTH(SalesData[[#This Row],[Order Date]])/3,0)</f>
        <v>Q4</v>
      </c>
      <c r="T229">
        <f>YEAR(SalesData[[#This Row],[Order Date]])</f>
        <v>2025</v>
      </c>
      <c r="U229">
        <f>SalesData[[#This Row],[Profit]]/SalesData[[#This Row],[Sales]]</f>
        <v>0.22222222222222221</v>
      </c>
    </row>
    <row r="230" spans="1:21" x14ac:dyDescent="0.25">
      <c r="A230" t="s">
        <v>455</v>
      </c>
      <c r="B230" s="1">
        <v>45842</v>
      </c>
      <c r="C230" t="s">
        <v>332</v>
      </c>
      <c r="D230" t="s">
        <v>61</v>
      </c>
      <c r="E230" t="s">
        <v>30</v>
      </c>
      <c r="F230" t="s">
        <v>31</v>
      </c>
      <c r="G230" t="s">
        <v>22</v>
      </c>
      <c r="H230" t="s">
        <v>23</v>
      </c>
      <c r="I230" t="s">
        <v>72</v>
      </c>
      <c r="J230">
        <v>7</v>
      </c>
      <c r="K230">
        <v>800</v>
      </c>
      <c r="L230">
        <v>10</v>
      </c>
      <c r="M230">
        <v>5040</v>
      </c>
      <c r="N230">
        <v>3920</v>
      </c>
      <c r="O230">
        <v>1120</v>
      </c>
      <c r="P230" t="s">
        <v>40</v>
      </c>
      <c r="Q230" t="s">
        <v>26</v>
      </c>
      <c r="R230" t="str">
        <f>TEXT(SalesData[[#This Row],[Order Date]],"mmm")</f>
        <v>Jul</v>
      </c>
      <c r="S230" s="2" t="str">
        <f>"Q"&amp;ROUNDUP(MONTH(SalesData[[#This Row],[Order Date]])/3,0)</f>
        <v>Q3</v>
      </c>
      <c r="T230">
        <f>YEAR(SalesData[[#This Row],[Order Date]])</f>
        <v>2025</v>
      </c>
      <c r="U230">
        <f>SalesData[[#This Row],[Profit]]/SalesData[[#This Row],[Sales]]</f>
        <v>0.22222222222222221</v>
      </c>
    </row>
    <row r="231" spans="1:21" x14ac:dyDescent="0.25">
      <c r="A231" t="s">
        <v>456</v>
      </c>
      <c r="B231" s="1">
        <v>45936</v>
      </c>
      <c r="C231" t="s">
        <v>457</v>
      </c>
      <c r="D231" t="s">
        <v>169</v>
      </c>
      <c r="E231" t="s">
        <v>44</v>
      </c>
      <c r="F231" t="s">
        <v>45</v>
      </c>
      <c r="G231" t="s">
        <v>22</v>
      </c>
      <c r="H231" t="s">
        <v>65</v>
      </c>
      <c r="I231" t="s">
        <v>24</v>
      </c>
      <c r="J231">
        <v>4</v>
      </c>
      <c r="K231">
        <v>9500</v>
      </c>
      <c r="L231">
        <v>10</v>
      </c>
      <c r="M231">
        <v>34200</v>
      </c>
      <c r="N231">
        <v>26600</v>
      </c>
      <c r="O231">
        <v>7600</v>
      </c>
      <c r="P231" t="s">
        <v>40</v>
      </c>
      <c r="Q231" t="s">
        <v>33</v>
      </c>
      <c r="R231" t="str">
        <f>TEXT(SalesData[[#This Row],[Order Date]],"mmm")</f>
        <v>Oct</v>
      </c>
      <c r="S231" s="2" t="str">
        <f>"Q"&amp;ROUNDUP(MONTH(SalesData[[#This Row],[Order Date]])/3,0)</f>
        <v>Q4</v>
      </c>
      <c r="T231">
        <f>YEAR(SalesData[[#This Row],[Order Date]])</f>
        <v>2025</v>
      </c>
      <c r="U231">
        <f>SalesData[[#This Row],[Profit]]/SalesData[[#This Row],[Sales]]</f>
        <v>0.22222222222222221</v>
      </c>
    </row>
    <row r="232" spans="1:21" x14ac:dyDescent="0.25">
      <c r="A232" t="s">
        <v>458</v>
      </c>
      <c r="B232" s="1">
        <v>45977</v>
      </c>
      <c r="C232" t="s">
        <v>96</v>
      </c>
      <c r="D232" t="s">
        <v>281</v>
      </c>
      <c r="E232" t="s">
        <v>44</v>
      </c>
      <c r="F232" t="s">
        <v>45</v>
      </c>
      <c r="G232" t="s">
        <v>22</v>
      </c>
      <c r="H232" t="s">
        <v>46</v>
      </c>
      <c r="I232" t="s">
        <v>24</v>
      </c>
      <c r="J232">
        <v>5</v>
      </c>
      <c r="K232">
        <v>9500</v>
      </c>
      <c r="L232">
        <v>10</v>
      </c>
      <c r="M232">
        <v>42750</v>
      </c>
      <c r="N232">
        <v>33250</v>
      </c>
      <c r="O232">
        <v>9500</v>
      </c>
      <c r="P232" t="s">
        <v>54</v>
      </c>
      <c r="Q232" t="s">
        <v>33</v>
      </c>
      <c r="R232" t="str">
        <f>TEXT(SalesData[[#This Row],[Order Date]],"mmm")</f>
        <v>Nov</v>
      </c>
      <c r="S232" s="2" t="str">
        <f>"Q"&amp;ROUNDUP(MONTH(SalesData[[#This Row],[Order Date]])/3,0)</f>
        <v>Q4</v>
      </c>
      <c r="T232">
        <f>YEAR(SalesData[[#This Row],[Order Date]])</f>
        <v>2025</v>
      </c>
      <c r="U232">
        <f>SalesData[[#This Row],[Profit]]/SalesData[[#This Row],[Sales]]</f>
        <v>0.22222222222222221</v>
      </c>
    </row>
    <row r="233" spans="1:21" x14ac:dyDescent="0.25">
      <c r="A233" t="s">
        <v>459</v>
      </c>
      <c r="B233" s="1">
        <v>45947</v>
      </c>
      <c r="C233" t="s">
        <v>273</v>
      </c>
      <c r="D233" t="s">
        <v>177</v>
      </c>
      <c r="E233" t="s">
        <v>62</v>
      </c>
      <c r="F233" t="s">
        <v>63</v>
      </c>
      <c r="G233" t="s">
        <v>64</v>
      </c>
      <c r="H233" t="s">
        <v>32</v>
      </c>
      <c r="I233" t="s">
        <v>24</v>
      </c>
      <c r="J233">
        <v>9</v>
      </c>
      <c r="K233">
        <v>8500</v>
      </c>
      <c r="L233">
        <v>5</v>
      </c>
      <c r="M233">
        <v>72675</v>
      </c>
      <c r="N233">
        <v>53550</v>
      </c>
      <c r="O233">
        <v>19125</v>
      </c>
      <c r="P233" t="s">
        <v>58</v>
      </c>
      <c r="Q233" t="s">
        <v>33</v>
      </c>
      <c r="R233" t="str">
        <f>TEXT(SalesData[[#This Row],[Order Date]],"mmm")</f>
        <v>Oct</v>
      </c>
      <c r="S233" s="2" t="str">
        <f>"Q"&amp;ROUNDUP(MONTH(SalesData[[#This Row],[Order Date]])/3,0)</f>
        <v>Q4</v>
      </c>
      <c r="T233">
        <f>YEAR(SalesData[[#This Row],[Order Date]])</f>
        <v>2025</v>
      </c>
      <c r="U233">
        <f>SalesData[[#This Row],[Profit]]/SalesData[[#This Row],[Sales]]</f>
        <v>0.26315789473684209</v>
      </c>
    </row>
    <row r="234" spans="1:21" x14ac:dyDescent="0.25">
      <c r="A234" t="s">
        <v>460</v>
      </c>
      <c r="B234" s="1">
        <v>45711</v>
      </c>
      <c r="C234" t="s">
        <v>147</v>
      </c>
      <c r="D234" t="s">
        <v>420</v>
      </c>
      <c r="E234" t="s">
        <v>30</v>
      </c>
      <c r="F234" t="s">
        <v>31</v>
      </c>
      <c r="G234" t="s">
        <v>22</v>
      </c>
      <c r="H234" t="s">
        <v>46</v>
      </c>
      <c r="I234" t="s">
        <v>66</v>
      </c>
      <c r="J234">
        <v>3</v>
      </c>
      <c r="K234">
        <v>800</v>
      </c>
      <c r="L234">
        <v>5</v>
      </c>
      <c r="M234">
        <v>2280</v>
      </c>
      <c r="N234">
        <v>1680</v>
      </c>
      <c r="O234">
        <v>600</v>
      </c>
      <c r="P234" t="s">
        <v>54</v>
      </c>
      <c r="Q234" t="s">
        <v>76</v>
      </c>
      <c r="R234" t="str">
        <f>TEXT(SalesData[[#This Row],[Order Date]],"mmm")</f>
        <v>Feb</v>
      </c>
      <c r="S234" s="2" t="str">
        <f>"Q"&amp;ROUNDUP(MONTH(SalesData[[#This Row],[Order Date]])/3,0)</f>
        <v>Q1</v>
      </c>
      <c r="T234">
        <f>YEAR(SalesData[[#This Row],[Order Date]])</f>
        <v>2025</v>
      </c>
      <c r="U234">
        <f>SalesData[[#This Row],[Profit]]/SalesData[[#This Row],[Sales]]</f>
        <v>0.26315789473684209</v>
      </c>
    </row>
    <row r="235" spans="1:21" x14ac:dyDescent="0.25">
      <c r="A235" t="s">
        <v>461</v>
      </c>
      <c r="B235" s="1">
        <v>45963</v>
      </c>
      <c r="C235" t="s">
        <v>242</v>
      </c>
      <c r="D235" t="s">
        <v>57</v>
      </c>
      <c r="E235" t="s">
        <v>44</v>
      </c>
      <c r="F235" t="s">
        <v>45</v>
      </c>
      <c r="G235" t="s">
        <v>22</v>
      </c>
      <c r="H235" t="s">
        <v>23</v>
      </c>
      <c r="I235" t="s">
        <v>53</v>
      </c>
      <c r="J235">
        <v>2</v>
      </c>
      <c r="K235">
        <v>9500</v>
      </c>
      <c r="L235">
        <v>0</v>
      </c>
      <c r="M235">
        <v>19000</v>
      </c>
      <c r="N235">
        <v>13300</v>
      </c>
      <c r="O235">
        <v>5700</v>
      </c>
      <c r="P235" t="s">
        <v>58</v>
      </c>
      <c r="Q235" t="s">
        <v>33</v>
      </c>
      <c r="R235" t="str">
        <f>TEXT(SalesData[[#This Row],[Order Date]],"mmm")</f>
        <v>Nov</v>
      </c>
      <c r="S235" s="2" t="str">
        <f>"Q"&amp;ROUNDUP(MONTH(SalesData[[#This Row],[Order Date]])/3,0)</f>
        <v>Q4</v>
      </c>
      <c r="T235">
        <f>YEAR(SalesData[[#This Row],[Order Date]])</f>
        <v>2025</v>
      </c>
      <c r="U235">
        <f>SalesData[[#This Row],[Profit]]/SalesData[[#This Row],[Sales]]</f>
        <v>0.3</v>
      </c>
    </row>
    <row r="236" spans="1:21" x14ac:dyDescent="0.25">
      <c r="A236" t="s">
        <v>462</v>
      </c>
      <c r="B236" s="1">
        <v>45683</v>
      </c>
      <c r="C236" t="s">
        <v>105</v>
      </c>
      <c r="D236" t="s">
        <v>57</v>
      </c>
      <c r="E236" t="s">
        <v>62</v>
      </c>
      <c r="F236" t="s">
        <v>63</v>
      </c>
      <c r="G236" t="s">
        <v>64</v>
      </c>
      <c r="H236" t="s">
        <v>46</v>
      </c>
      <c r="I236" t="s">
        <v>72</v>
      </c>
      <c r="J236">
        <v>8</v>
      </c>
      <c r="K236">
        <v>8500</v>
      </c>
      <c r="L236">
        <v>0</v>
      </c>
      <c r="M236">
        <v>68000</v>
      </c>
      <c r="N236">
        <v>47600</v>
      </c>
      <c r="O236">
        <v>20400</v>
      </c>
      <c r="P236" t="s">
        <v>58</v>
      </c>
      <c r="Q236" t="s">
        <v>26</v>
      </c>
      <c r="R236" t="str">
        <f>TEXT(SalesData[[#This Row],[Order Date]],"mmm")</f>
        <v>Jan</v>
      </c>
      <c r="S236" s="2" t="str">
        <f>"Q"&amp;ROUNDUP(MONTH(SalesData[[#This Row],[Order Date]])/3,0)</f>
        <v>Q1</v>
      </c>
      <c r="T236">
        <f>YEAR(SalesData[[#This Row],[Order Date]])</f>
        <v>2025</v>
      </c>
      <c r="U236">
        <f>SalesData[[#This Row],[Profit]]/SalesData[[#This Row],[Sales]]</f>
        <v>0.3</v>
      </c>
    </row>
    <row r="237" spans="1:21" x14ac:dyDescent="0.25">
      <c r="A237" t="s">
        <v>463</v>
      </c>
      <c r="B237" s="1">
        <v>45853</v>
      </c>
      <c r="C237" t="s">
        <v>229</v>
      </c>
      <c r="D237" t="s">
        <v>110</v>
      </c>
      <c r="E237" t="s">
        <v>30</v>
      </c>
      <c r="F237" t="s">
        <v>31</v>
      </c>
      <c r="G237" t="s">
        <v>22</v>
      </c>
      <c r="H237" t="s">
        <v>32</v>
      </c>
      <c r="I237" t="s">
        <v>66</v>
      </c>
      <c r="J237">
        <v>6</v>
      </c>
      <c r="K237">
        <v>800</v>
      </c>
      <c r="L237">
        <v>20</v>
      </c>
      <c r="M237">
        <v>3840</v>
      </c>
      <c r="N237">
        <v>3360</v>
      </c>
      <c r="O237">
        <v>480</v>
      </c>
      <c r="P237" t="s">
        <v>58</v>
      </c>
      <c r="Q237" t="s">
        <v>33</v>
      </c>
      <c r="R237" t="str">
        <f>TEXT(SalesData[[#This Row],[Order Date]],"mmm")</f>
        <v>Jul</v>
      </c>
      <c r="S237" s="2" t="str">
        <f>"Q"&amp;ROUNDUP(MONTH(SalesData[[#This Row],[Order Date]])/3,0)</f>
        <v>Q3</v>
      </c>
      <c r="T237">
        <f>YEAR(SalesData[[#This Row],[Order Date]])</f>
        <v>2025</v>
      </c>
      <c r="U237">
        <f>SalesData[[#This Row],[Profit]]/SalesData[[#This Row],[Sales]]</f>
        <v>0.125</v>
      </c>
    </row>
    <row r="238" spans="1:21" x14ac:dyDescent="0.25">
      <c r="A238" t="s">
        <v>464</v>
      </c>
      <c r="B238" s="1">
        <v>45696</v>
      </c>
      <c r="C238" t="s">
        <v>150</v>
      </c>
      <c r="D238" t="s">
        <v>377</v>
      </c>
      <c r="E238" t="s">
        <v>93</v>
      </c>
      <c r="F238" t="s">
        <v>94</v>
      </c>
      <c r="G238" t="s">
        <v>64</v>
      </c>
      <c r="H238" t="s">
        <v>65</v>
      </c>
      <c r="I238" t="s">
        <v>72</v>
      </c>
      <c r="J238">
        <v>4</v>
      </c>
      <c r="K238">
        <v>4500</v>
      </c>
      <c r="L238">
        <v>5</v>
      </c>
      <c r="M238">
        <v>17100</v>
      </c>
      <c r="N238">
        <v>12600</v>
      </c>
      <c r="O238">
        <v>4500</v>
      </c>
      <c r="P238" t="s">
        <v>58</v>
      </c>
      <c r="Q238" t="s">
        <v>76</v>
      </c>
      <c r="R238" t="str">
        <f>TEXT(SalesData[[#This Row],[Order Date]],"mmm")</f>
        <v>Feb</v>
      </c>
      <c r="S238" s="2" t="str">
        <f>"Q"&amp;ROUNDUP(MONTH(SalesData[[#This Row],[Order Date]])/3,0)</f>
        <v>Q1</v>
      </c>
      <c r="T238">
        <f>YEAR(SalesData[[#This Row],[Order Date]])</f>
        <v>2025</v>
      </c>
      <c r="U238">
        <f>SalesData[[#This Row],[Profit]]/SalesData[[#This Row],[Sales]]</f>
        <v>0.26315789473684209</v>
      </c>
    </row>
    <row r="239" spans="1:21" x14ac:dyDescent="0.25">
      <c r="A239" t="s">
        <v>465</v>
      </c>
      <c r="B239" s="1">
        <v>45935</v>
      </c>
      <c r="C239" t="s">
        <v>466</v>
      </c>
      <c r="D239" t="s">
        <v>183</v>
      </c>
      <c r="E239" t="s">
        <v>20</v>
      </c>
      <c r="F239" t="s">
        <v>21</v>
      </c>
      <c r="G239" t="s">
        <v>22</v>
      </c>
      <c r="H239" t="s">
        <v>23</v>
      </c>
      <c r="I239" t="s">
        <v>53</v>
      </c>
      <c r="J239">
        <v>2</v>
      </c>
      <c r="K239">
        <v>3500</v>
      </c>
      <c r="L239">
        <v>15</v>
      </c>
      <c r="M239">
        <v>5950</v>
      </c>
      <c r="N239">
        <v>4900</v>
      </c>
      <c r="O239">
        <v>1050</v>
      </c>
      <c r="P239" t="s">
        <v>25</v>
      </c>
      <c r="Q239" t="s">
        <v>26</v>
      </c>
      <c r="R239" t="str">
        <f>TEXT(SalesData[[#This Row],[Order Date]],"mmm")</f>
        <v>Oct</v>
      </c>
      <c r="S239" s="2" t="str">
        <f>"Q"&amp;ROUNDUP(MONTH(SalesData[[#This Row],[Order Date]])/3,0)</f>
        <v>Q4</v>
      </c>
      <c r="T239">
        <f>YEAR(SalesData[[#This Row],[Order Date]])</f>
        <v>2025</v>
      </c>
      <c r="U239">
        <f>SalesData[[#This Row],[Profit]]/SalesData[[#This Row],[Sales]]</f>
        <v>0.17647058823529413</v>
      </c>
    </row>
    <row r="240" spans="1:21" x14ac:dyDescent="0.25">
      <c r="A240" t="s">
        <v>467</v>
      </c>
      <c r="B240" s="1">
        <v>45731</v>
      </c>
      <c r="C240" t="s">
        <v>273</v>
      </c>
      <c r="D240" t="s">
        <v>358</v>
      </c>
      <c r="E240" t="s">
        <v>70</v>
      </c>
      <c r="F240" t="s">
        <v>71</v>
      </c>
      <c r="G240" t="s">
        <v>22</v>
      </c>
      <c r="H240" t="s">
        <v>65</v>
      </c>
      <c r="I240" t="s">
        <v>53</v>
      </c>
      <c r="J240">
        <v>5</v>
      </c>
      <c r="K240">
        <v>1500</v>
      </c>
      <c r="L240">
        <v>5</v>
      </c>
      <c r="M240">
        <v>7125</v>
      </c>
      <c r="N240">
        <v>5250</v>
      </c>
      <c r="O240">
        <v>1875</v>
      </c>
      <c r="P240" t="s">
        <v>54</v>
      </c>
      <c r="Q240" t="s">
        <v>33</v>
      </c>
      <c r="R240" t="str">
        <f>TEXT(SalesData[[#This Row],[Order Date]],"mmm")</f>
        <v>Mar</v>
      </c>
      <c r="S240" s="2" t="str">
        <f>"Q"&amp;ROUNDUP(MONTH(SalesData[[#This Row],[Order Date]])/3,0)</f>
        <v>Q1</v>
      </c>
      <c r="T240">
        <f>YEAR(SalesData[[#This Row],[Order Date]])</f>
        <v>2025</v>
      </c>
      <c r="U240">
        <f>SalesData[[#This Row],[Profit]]/SalesData[[#This Row],[Sales]]</f>
        <v>0.26315789473684209</v>
      </c>
    </row>
    <row r="241" spans="1:21" x14ac:dyDescent="0.25">
      <c r="A241" t="s">
        <v>468</v>
      </c>
      <c r="B241" s="1">
        <v>45673</v>
      </c>
      <c r="C241" t="s">
        <v>469</v>
      </c>
      <c r="D241" t="s">
        <v>113</v>
      </c>
      <c r="E241" t="s">
        <v>62</v>
      </c>
      <c r="F241" t="s">
        <v>63</v>
      </c>
      <c r="G241" t="s">
        <v>64</v>
      </c>
      <c r="H241" t="s">
        <v>65</v>
      </c>
      <c r="I241" t="s">
        <v>24</v>
      </c>
      <c r="J241">
        <v>6</v>
      </c>
      <c r="K241">
        <v>8500</v>
      </c>
      <c r="L241">
        <v>5</v>
      </c>
      <c r="M241">
        <v>48450</v>
      </c>
      <c r="N241">
        <v>35700</v>
      </c>
      <c r="O241">
        <v>12750</v>
      </c>
      <c r="P241" t="s">
        <v>25</v>
      </c>
      <c r="Q241" t="s">
        <v>33</v>
      </c>
      <c r="R241" t="str">
        <f>TEXT(SalesData[[#This Row],[Order Date]],"mmm")</f>
        <v>Jan</v>
      </c>
      <c r="S241" s="2" t="str">
        <f>"Q"&amp;ROUNDUP(MONTH(SalesData[[#This Row],[Order Date]])/3,0)</f>
        <v>Q1</v>
      </c>
      <c r="T241">
        <f>YEAR(SalesData[[#This Row],[Order Date]])</f>
        <v>2025</v>
      </c>
      <c r="U241">
        <f>SalesData[[#This Row],[Profit]]/SalesData[[#This Row],[Sales]]</f>
        <v>0.26315789473684209</v>
      </c>
    </row>
    <row r="242" spans="1:21" x14ac:dyDescent="0.25">
      <c r="A242" t="s">
        <v>470</v>
      </c>
      <c r="B242" s="1">
        <v>46004</v>
      </c>
      <c r="C242" t="s">
        <v>471</v>
      </c>
      <c r="D242" t="s">
        <v>391</v>
      </c>
      <c r="E242" t="s">
        <v>30</v>
      </c>
      <c r="F242" t="s">
        <v>31</v>
      </c>
      <c r="G242" t="s">
        <v>22</v>
      </c>
      <c r="H242" t="s">
        <v>46</v>
      </c>
      <c r="I242" t="s">
        <v>80</v>
      </c>
      <c r="J242">
        <v>7</v>
      </c>
      <c r="K242">
        <v>800</v>
      </c>
      <c r="L242">
        <v>15</v>
      </c>
      <c r="M242">
        <v>4760</v>
      </c>
      <c r="N242">
        <v>3920</v>
      </c>
      <c r="O242">
        <v>840.00000000000045</v>
      </c>
      <c r="P242" t="s">
        <v>40</v>
      </c>
      <c r="Q242" t="s">
        <v>76</v>
      </c>
      <c r="R242" t="str">
        <f>TEXT(SalesData[[#This Row],[Order Date]],"mmm")</f>
        <v>Dec</v>
      </c>
      <c r="S242" s="2" t="str">
        <f>"Q"&amp;ROUNDUP(MONTH(SalesData[[#This Row],[Order Date]])/3,0)</f>
        <v>Q4</v>
      </c>
      <c r="T242">
        <f>YEAR(SalesData[[#This Row],[Order Date]])</f>
        <v>2025</v>
      </c>
      <c r="U242">
        <f>SalesData[[#This Row],[Profit]]/SalesData[[#This Row],[Sales]]</f>
        <v>0.17647058823529421</v>
      </c>
    </row>
    <row r="243" spans="1:21" x14ac:dyDescent="0.25">
      <c r="A243" t="s">
        <v>472</v>
      </c>
      <c r="B243" s="1">
        <v>45675</v>
      </c>
      <c r="C243" t="s">
        <v>35</v>
      </c>
      <c r="D243" t="s">
        <v>247</v>
      </c>
      <c r="E243" t="s">
        <v>50</v>
      </c>
      <c r="F243" t="s">
        <v>51</v>
      </c>
      <c r="G243" t="s">
        <v>52</v>
      </c>
      <c r="H243" t="s">
        <v>65</v>
      </c>
      <c r="I243" t="s">
        <v>66</v>
      </c>
      <c r="J243">
        <v>7</v>
      </c>
      <c r="K243">
        <v>3200</v>
      </c>
      <c r="L243">
        <v>20</v>
      </c>
      <c r="M243">
        <v>17920</v>
      </c>
      <c r="N243">
        <v>15680</v>
      </c>
      <c r="O243">
        <v>2240.0000000000018</v>
      </c>
      <c r="P243" t="s">
        <v>54</v>
      </c>
      <c r="Q243" t="s">
        <v>76</v>
      </c>
      <c r="R243" t="str">
        <f>TEXT(SalesData[[#This Row],[Order Date]],"mmm")</f>
        <v>Jan</v>
      </c>
      <c r="S243" s="2" t="str">
        <f>"Q"&amp;ROUNDUP(MONTH(SalesData[[#This Row],[Order Date]])/3,0)</f>
        <v>Q1</v>
      </c>
      <c r="T243">
        <f>YEAR(SalesData[[#This Row],[Order Date]])</f>
        <v>2025</v>
      </c>
      <c r="U243">
        <f>SalesData[[#This Row],[Profit]]/SalesData[[#This Row],[Sales]]</f>
        <v>0.12500000000000011</v>
      </c>
    </row>
    <row r="244" spans="1:21" x14ac:dyDescent="0.25">
      <c r="A244" t="s">
        <v>473</v>
      </c>
      <c r="B244" s="1">
        <v>45997</v>
      </c>
      <c r="C244" t="s">
        <v>121</v>
      </c>
      <c r="D244" t="s">
        <v>278</v>
      </c>
      <c r="E244" t="s">
        <v>62</v>
      </c>
      <c r="F244" t="s">
        <v>63</v>
      </c>
      <c r="G244" t="s">
        <v>64</v>
      </c>
      <c r="H244" t="s">
        <v>23</v>
      </c>
      <c r="I244" t="s">
        <v>53</v>
      </c>
      <c r="J244">
        <v>7</v>
      </c>
      <c r="K244">
        <v>8500</v>
      </c>
      <c r="L244">
        <v>0</v>
      </c>
      <c r="M244">
        <v>59500</v>
      </c>
      <c r="N244">
        <v>41650</v>
      </c>
      <c r="O244">
        <v>17850</v>
      </c>
      <c r="P244" t="s">
        <v>40</v>
      </c>
      <c r="Q244" t="s">
        <v>76</v>
      </c>
      <c r="R244" t="str">
        <f>TEXT(SalesData[[#This Row],[Order Date]],"mmm")</f>
        <v>Dec</v>
      </c>
      <c r="S244" s="2" t="str">
        <f>"Q"&amp;ROUNDUP(MONTH(SalesData[[#This Row],[Order Date]])/3,0)</f>
        <v>Q4</v>
      </c>
      <c r="T244">
        <f>YEAR(SalesData[[#This Row],[Order Date]])</f>
        <v>2025</v>
      </c>
      <c r="U244">
        <f>SalesData[[#This Row],[Profit]]/SalesData[[#This Row],[Sales]]</f>
        <v>0.3</v>
      </c>
    </row>
    <row r="245" spans="1:21" x14ac:dyDescent="0.25">
      <c r="A245" t="s">
        <v>474</v>
      </c>
      <c r="B245" s="1">
        <v>45898</v>
      </c>
      <c r="C245" t="s">
        <v>442</v>
      </c>
      <c r="D245" t="s">
        <v>139</v>
      </c>
      <c r="E245" t="s">
        <v>30</v>
      </c>
      <c r="F245" t="s">
        <v>31</v>
      </c>
      <c r="G245" t="s">
        <v>22</v>
      </c>
      <c r="H245" t="s">
        <v>65</v>
      </c>
      <c r="I245" t="s">
        <v>66</v>
      </c>
      <c r="J245">
        <v>7</v>
      </c>
      <c r="K245">
        <v>800</v>
      </c>
      <c r="L245">
        <v>20</v>
      </c>
      <c r="M245">
        <v>4480</v>
      </c>
      <c r="N245">
        <v>3920</v>
      </c>
      <c r="O245">
        <v>560.00000000000045</v>
      </c>
      <c r="P245" t="s">
        <v>25</v>
      </c>
      <c r="Q245" t="s">
        <v>76</v>
      </c>
      <c r="R245" t="str">
        <f>TEXT(SalesData[[#This Row],[Order Date]],"mmm")</f>
        <v>Aug</v>
      </c>
      <c r="S245" s="2" t="str">
        <f>"Q"&amp;ROUNDUP(MONTH(SalesData[[#This Row],[Order Date]])/3,0)</f>
        <v>Q3</v>
      </c>
      <c r="T245">
        <f>YEAR(SalesData[[#This Row],[Order Date]])</f>
        <v>2025</v>
      </c>
      <c r="U245">
        <f>SalesData[[#This Row],[Profit]]/SalesData[[#This Row],[Sales]]</f>
        <v>0.12500000000000011</v>
      </c>
    </row>
    <row r="246" spans="1:21" x14ac:dyDescent="0.25">
      <c r="A246" t="s">
        <v>475</v>
      </c>
      <c r="B246" s="1">
        <v>45968</v>
      </c>
      <c r="C246" t="s">
        <v>476</v>
      </c>
      <c r="D246" t="s">
        <v>262</v>
      </c>
      <c r="E246" t="s">
        <v>70</v>
      </c>
      <c r="F246" t="s">
        <v>71</v>
      </c>
      <c r="G246" t="s">
        <v>22</v>
      </c>
      <c r="H246" t="s">
        <v>23</v>
      </c>
      <c r="I246" t="s">
        <v>72</v>
      </c>
      <c r="J246">
        <v>2</v>
      </c>
      <c r="K246">
        <v>1500</v>
      </c>
      <c r="L246">
        <v>5</v>
      </c>
      <c r="M246">
        <v>2850</v>
      </c>
      <c r="N246">
        <v>2100</v>
      </c>
      <c r="O246">
        <v>750</v>
      </c>
      <c r="P246" t="s">
        <v>54</v>
      </c>
      <c r="Q246" t="s">
        <v>76</v>
      </c>
      <c r="R246" t="str">
        <f>TEXT(SalesData[[#This Row],[Order Date]],"mmm")</f>
        <v>Nov</v>
      </c>
      <c r="S246" s="2" t="str">
        <f>"Q"&amp;ROUNDUP(MONTH(SalesData[[#This Row],[Order Date]])/3,0)</f>
        <v>Q4</v>
      </c>
      <c r="T246">
        <f>YEAR(SalesData[[#This Row],[Order Date]])</f>
        <v>2025</v>
      </c>
      <c r="U246">
        <f>SalesData[[#This Row],[Profit]]/SalesData[[#This Row],[Sales]]</f>
        <v>0.26315789473684209</v>
      </c>
    </row>
    <row r="247" spans="1:21" x14ac:dyDescent="0.25">
      <c r="A247" t="s">
        <v>477</v>
      </c>
      <c r="B247" s="1">
        <v>45782</v>
      </c>
      <c r="C247" t="s">
        <v>102</v>
      </c>
      <c r="D247" t="s">
        <v>110</v>
      </c>
      <c r="E247" t="s">
        <v>44</v>
      </c>
      <c r="F247" t="s">
        <v>45</v>
      </c>
      <c r="G247" t="s">
        <v>22</v>
      </c>
      <c r="H247" t="s">
        <v>65</v>
      </c>
      <c r="I247" t="s">
        <v>39</v>
      </c>
      <c r="J247">
        <v>1</v>
      </c>
      <c r="K247">
        <v>9500</v>
      </c>
      <c r="L247">
        <v>15</v>
      </c>
      <c r="M247">
        <v>8075</v>
      </c>
      <c r="N247">
        <v>6650</v>
      </c>
      <c r="O247">
        <v>1425</v>
      </c>
      <c r="P247" t="s">
        <v>25</v>
      </c>
      <c r="Q247" t="s">
        <v>76</v>
      </c>
      <c r="R247" t="str">
        <f>TEXT(SalesData[[#This Row],[Order Date]],"mmm")</f>
        <v>May</v>
      </c>
      <c r="S247" s="2" t="str">
        <f>"Q"&amp;ROUNDUP(MONTH(SalesData[[#This Row],[Order Date]])/3,0)</f>
        <v>Q2</v>
      </c>
      <c r="T247">
        <f>YEAR(SalesData[[#This Row],[Order Date]])</f>
        <v>2025</v>
      </c>
      <c r="U247">
        <f>SalesData[[#This Row],[Profit]]/SalesData[[#This Row],[Sales]]</f>
        <v>0.17647058823529413</v>
      </c>
    </row>
    <row r="248" spans="1:21" x14ac:dyDescent="0.25">
      <c r="A248" t="s">
        <v>478</v>
      </c>
      <c r="B248" s="1">
        <v>46006</v>
      </c>
      <c r="C248" t="s">
        <v>155</v>
      </c>
      <c r="D248" t="s">
        <v>253</v>
      </c>
      <c r="E248" t="s">
        <v>20</v>
      </c>
      <c r="F248" t="s">
        <v>21</v>
      </c>
      <c r="G248" t="s">
        <v>22</v>
      </c>
      <c r="H248" t="s">
        <v>65</v>
      </c>
      <c r="I248" t="s">
        <v>80</v>
      </c>
      <c r="J248">
        <v>7</v>
      </c>
      <c r="K248">
        <v>3500</v>
      </c>
      <c r="L248">
        <v>10</v>
      </c>
      <c r="M248">
        <v>22050</v>
      </c>
      <c r="N248">
        <v>17150</v>
      </c>
      <c r="O248">
        <v>4900</v>
      </c>
      <c r="P248" t="s">
        <v>58</v>
      </c>
      <c r="Q248" t="s">
        <v>26</v>
      </c>
      <c r="R248" t="str">
        <f>TEXT(SalesData[[#This Row],[Order Date]],"mmm")</f>
        <v>Dec</v>
      </c>
      <c r="S248" s="2" t="str">
        <f>"Q"&amp;ROUNDUP(MONTH(SalesData[[#This Row],[Order Date]])/3,0)</f>
        <v>Q4</v>
      </c>
      <c r="T248">
        <f>YEAR(SalesData[[#This Row],[Order Date]])</f>
        <v>2025</v>
      </c>
      <c r="U248">
        <f>SalesData[[#This Row],[Profit]]/SalesData[[#This Row],[Sales]]</f>
        <v>0.22222222222222221</v>
      </c>
    </row>
    <row r="249" spans="1:21" x14ac:dyDescent="0.25">
      <c r="A249" t="s">
        <v>479</v>
      </c>
      <c r="B249" s="1">
        <v>45826</v>
      </c>
      <c r="C249" t="s">
        <v>88</v>
      </c>
      <c r="D249" t="s">
        <v>310</v>
      </c>
      <c r="E249" t="s">
        <v>37</v>
      </c>
      <c r="F249" t="s">
        <v>38</v>
      </c>
      <c r="G249" t="s">
        <v>22</v>
      </c>
      <c r="H249" t="s">
        <v>23</v>
      </c>
      <c r="I249" t="s">
        <v>39</v>
      </c>
      <c r="J249">
        <v>7</v>
      </c>
      <c r="K249">
        <v>55000</v>
      </c>
      <c r="L249">
        <v>15</v>
      </c>
      <c r="M249">
        <v>327250</v>
      </c>
      <c r="N249">
        <v>269500</v>
      </c>
      <c r="O249">
        <v>57750</v>
      </c>
      <c r="P249" t="s">
        <v>25</v>
      </c>
      <c r="Q249" t="s">
        <v>33</v>
      </c>
      <c r="R249" t="str">
        <f>TEXT(SalesData[[#This Row],[Order Date]],"mmm")</f>
        <v>Jun</v>
      </c>
      <c r="S249" s="2" t="str">
        <f>"Q"&amp;ROUNDUP(MONTH(SalesData[[#This Row],[Order Date]])/3,0)</f>
        <v>Q2</v>
      </c>
      <c r="T249">
        <f>YEAR(SalesData[[#This Row],[Order Date]])</f>
        <v>2025</v>
      </c>
      <c r="U249">
        <f>SalesData[[#This Row],[Profit]]/SalesData[[#This Row],[Sales]]</f>
        <v>0.17647058823529413</v>
      </c>
    </row>
    <row r="250" spans="1:21" x14ac:dyDescent="0.25">
      <c r="A250" t="s">
        <v>480</v>
      </c>
      <c r="B250" s="1">
        <v>45660</v>
      </c>
      <c r="C250" t="s">
        <v>152</v>
      </c>
      <c r="D250" t="s">
        <v>142</v>
      </c>
      <c r="E250" t="s">
        <v>50</v>
      </c>
      <c r="F250" t="s">
        <v>51</v>
      </c>
      <c r="G250" t="s">
        <v>52</v>
      </c>
      <c r="H250" t="s">
        <v>46</v>
      </c>
      <c r="I250" t="s">
        <v>80</v>
      </c>
      <c r="J250">
        <v>7</v>
      </c>
      <c r="K250">
        <v>3200</v>
      </c>
      <c r="L250">
        <v>20</v>
      </c>
      <c r="M250">
        <v>17920</v>
      </c>
      <c r="N250">
        <v>15680</v>
      </c>
      <c r="O250">
        <v>2240.0000000000018</v>
      </c>
      <c r="P250" t="s">
        <v>58</v>
      </c>
      <c r="Q250" t="s">
        <v>26</v>
      </c>
      <c r="R250" t="str">
        <f>TEXT(SalesData[[#This Row],[Order Date]],"mmm")</f>
        <v>Jan</v>
      </c>
      <c r="S250" s="2" t="str">
        <f>"Q"&amp;ROUNDUP(MONTH(SalesData[[#This Row],[Order Date]])/3,0)</f>
        <v>Q1</v>
      </c>
      <c r="T250">
        <f>YEAR(SalesData[[#This Row],[Order Date]])</f>
        <v>2025</v>
      </c>
      <c r="U250">
        <f>SalesData[[#This Row],[Profit]]/SalesData[[#This Row],[Sales]]</f>
        <v>0.12500000000000011</v>
      </c>
    </row>
    <row r="251" spans="1:21" x14ac:dyDescent="0.25">
      <c r="A251" t="s">
        <v>481</v>
      </c>
      <c r="B251" s="1">
        <v>46017</v>
      </c>
      <c r="C251" t="s">
        <v>182</v>
      </c>
      <c r="D251" t="s">
        <v>275</v>
      </c>
      <c r="E251" t="s">
        <v>62</v>
      </c>
      <c r="F251" t="s">
        <v>63</v>
      </c>
      <c r="G251" t="s">
        <v>64</v>
      </c>
      <c r="H251" t="s">
        <v>32</v>
      </c>
      <c r="I251" t="s">
        <v>39</v>
      </c>
      <c r="J251">
        <v>7</v>
      </c>
      <c r="K251">
        <v>8500</v>
      </c>
      <c r="L251">
        <v>10</v>
      </c>
      <c r="M251">
        <v>53550</v>
      </c>
      <c r="N251">
        <v>41650</v>
      </c>
      <c r="O251">
        <v>11900</v>
      </c>
      <c r="P251" t="s">
        <v>25</v>
      </c>
      <c r="Q251" t="s">
        <v>26</v>
      </c>
      <c r="R251" t="str">
        <f>TEXT(SalesData[[#This Row],[Order Date]],"mmm")</f>
        <v>Dec</v>
      </c>
      <c r="S251" s="2" t="str">
        <f>"Q"&amp;ROUNDUP(MONTH(SalesData[[#This Row],[Order Date]])/3,0)</f>
        <v>Q4</v>
      </c>
      <c r="T251">
        <f>YEAR(SalesData[[#This Row],[Order Date]])</f>
        <v>2025</v>
      </c>
      <c r="U251">
        <f>SalesData[[#This Row],[Profit]]/SalesData[[#This Row],[Sales]]</f>
        <v>0.22222222222222221</v>
      </c>
    </row>
    <row r="252" spans="1:21" x14ac:dyDescent="0.25">
      <c r="A252" t="s">
        <v>482</v>
      </c>
      <c r="B252" s="1">
        <v>45805</v>
      </c>
      <c r="C252" t="s">
        <v>159</v>
      </c>
      <c r="D252" t="s">
        <v>389</v>
      </c>
      <c r="E252" t="s">
        <v>44</v>
      </c>
      <c r="F252" t="s">
        <v>45</v>
      </c>
      <c r="G252" t="s">
        <v>22</v>
      </c>
      <c r="H252" t="s">
        <v>65</v>
      </c>
      <c r="I252" t="s">
        <v>24</v>
      </c>
      <c r="J252">
        <v>3</v>
      </c>
      <c r="K252">
        <v>9500</v>
      </c>
      <c r="L252">
        <v>5</v>
      </c>
      <c r="M252">
        <v>27075</v>
      </c>
      <c r="N252">
        <v>19950</v>
      </c>
      <c r="O252">
        <v>7125</v>
      </c>
      <c r="P252" t="s">
        <v>25</v>
      </c>
      <c r="Q252" t="s">
        <v>26</v>
      </c>
      <c r="R252" t="str">
        <f>TEXT(SalesData[[#This Row],[Order Date]],"mmm")</f>
        <v>May</v>
      </c>
      <c r="S252" s="2" t="str">
        <f>"Q"&amp;ROUNDUP(MONTH(SalesData[[#This Row],[Order Date]])/3,0)</f>
        <v>Q2</v>
      </c>
      <c r="T252">
        <f>YEAR(SalesData[[#This Row],[Order Date]])</f>
        <v>2025</v>
      </c>
      <c r="U252">
        <f>SalesData[[#This Row],[Profit]]/SalesData[[#This Row],[Sales]]</f>
        <v>0.26315789473684209</v>
      </c>
    </row>
    <row r="253" spans="1:21" x14ac:dyDescent="0.25">
      <c r="A253" t="s">
        <v>483</v>
      </c>
      <c r="B253" s="1">
        <v>45767</v>
      </c>
      <c r="C253" t="s">
        <v>18</v>
      </c>
      <c r="D253" t="s">
        <v>119</v>
      </c>
      <c r="E253" t="s">
        <v>20</v>
      </c>
      <c r="F253" t="s">
        <v>21</v>
      </c>
      <c r="G253" t="s">
        <v>22</v>
      </c>
      <c r="H253" t="s">
        <v>46</v>
      </c>
      <c r="I253" t="s">
        <v>39</v>
      </c>
      <c r="J253">
        <v>2</v>
      </c>
      <c r="K253">
        <v>3500</v>
      </c>
      <c r="L253">
        <v>20</v>
      </c>
      <c r="M253">
        <v>5600</v>
      </c>
      <c r="N253">
        <v>4900</v>
      </c>
      <c r="O253">
        <v>700</v>
      </c>
      <c r="P253" t="s">
        <v>25</v>
      </c>
      <c r="Q253" t="s">
        <v>76</v>
      </c>
      <c r="R253" t="str">
        <f>TEXT(SalesData[[#This Row],[Order Date]],"mmm")</f>
        <v>Apr</v>
      </c>
      <c r="S253" s="2" t="str">
        <f>"Q"&amp;ROUNDUP(MONTH(SalesData[[#This Row],[Order Date]])/3,0)</f>
        <v>Q2</v>
      </c>
      <c r="T253">
        <f>YEAR(SalesData[[#This Row],[Order Date]])</f>
        <v>2025</v>
      </c>
      <c r="U253">
        <f>SalesData[[#This Row],[Profit]]/SalesData[[#This Row],[Sales]]</f>
        <v>0.125</v>
      </c>
    </row>
    <row r="254" spans="1:21" x14ac:dyDescent="0.25">
      <c r="A254" t="s">
        <v>484</v>
      </c>
      <c r="B254" s="1">
        <v>45742</v>
      </c>
      <c r="C254" t="s">
        <v>229</v>
      </c>
      <c r="D254" t="s">
        <v>103</v>
      </c>
      <c r="E254" t="s">
        <v>70</v>
      </c>
      <c r="F254" t="s">
        <v>71</v>
      </c>
      <c r="G254" t="s">
        <v>22</v>
      </c>
      <c r="H254" t="s">
        <v>46</v>
      </c>
      <c r="I254" t="s">
        <v>24</v>
      </c>
      <c r="J254">
        <v>2</v>
      </c>
      <c r="K254">
        <v>1500</v>
      </c>
      <c r="L254">
        <v>10</v>
      </c>
      <c r="M254">
        <v>2700</v>
      </c>
      <c r="N254">
        <v>2100</v>
      </c>
      <c r="O254">
        <v>600</v>
      </c>
      <c r="P254" t="s">
        <v>58</v>
      </c>
      <c r="Q254" t="s">
        <v>33</v>
      </c>
      <c r="R254" t="str">
        <f>TEXT(SalesData[[#This Row],[Order Date]],"mmm")</f>
        <v>Mar</v>
      </c>
      <c r="S254" s="2" t="str">
        <f>"Q"&amp;ROUNDUP(MONTH(SalesData[[#This Row],[Order Date]])/3,0)</f>
        <v>Q1</v>
      </c>
      <c r="T254">
        <f>YEAR(SalesData[[#This Row],[Order Date]])</f>
        <v>2025</v>
      </c>
      <c r="U254">
        <f>SalesData[[#This Row],[Profit]]/SalesData[[#This Row],[Sales]]</f>
        <v>0.22222222222222221</v>
      </c>
    </row>
    <row r="255" spans="1:21" x14ac:dyDescent="0.25">
      <c r="A255" t="s">
        <v>485</v>
      </c>
      <c r="B255" s="1">
        <v>45859</v>
      </c>
      <c r="C255" t="s">
        <v>107</v>
      </c>
      <c r="D255" t="s">
        <v>166</v>
      </c>
      <c r="E255" t="s">
        <v>20</v>
      </c>
      <c r="F255" t="s">
        <v>21</v>
      </c>
      <c r="G255" t="s">
        <v>22</v>
      </c>
      <c r="H255" t="s">
        <v>46</v>
      </c>
      <c r="I255" t="s">
        <v>72</v>
      </c>
      <c r="J255">
        <v>1</v>
      </c>
      <c r="K255">
        <v>3500</v>
      </c>
      <c r="L255">
        <v>0</v>
      </c>
      <c r="M255">
        <v>3500</v>
      </c>
      <c r="N255">
        <v>2450</v>
      </c>
      <c r="O255">
        <v>1050</v>
      </c>
      <c r="P255" t="s">
        <v>40</v>
      </c>
      <c r="Q255" t="s">
        <v>26</v>
      </c>
      <c r="R255" t="str">
        <f>TEXT(SalesData[[#This Row],[Order Date]],"mmm")</f>
        <v>Jul</v>
      </c>
      <c r="S255" s="2" t="str">
        <f>"Q"&amp;ROUNDUP(MONTH(SalesData[[#This Row],[Order Date]])/3,0)</f>
        <v>Q3</v>
      </c>
      <c r="T255">
        <f>YEAR(SalesData[[#This Row],[Order Date]])</f>
        <v>2025</v>
      </c>
      <c r="U255">
        <f>SalesData[[#This Row],[Profit]]/SalesData[[#This Row],[Sales]]</f>
        <v>0.3</v>
      </c>
    </row>
    <row r="256" spans="1:21" x14ac:dyDescent="0.25">
      <c r="A256" t="s">
        <v>486</v>
      </c>
      <c r="B256" s="1">
        <v>45933</v>
      </c>
      <c r="C256" t="s">
        <v>157</v>
      </c>
      <c r="D256" t="s">
        <v>89</v>
      </c>
      <c r="E256" t="s">
        <v>20</v>
      </c>
      <c r="F256" t="s">
        <v>21</v>
      </c>
      <c r="G256" t="s">
        <v>22</v>
      </c>
      <c r="H256" t="s">
        <v>46</v>
      </c>
      <c r="I256" t="s">
        <v>66</v>
      </c>
      <c r="J256">
        <v>8</v>
      </c>
      <c r="K256">
        <v>3500</v>
      </c>
      <c r="L256">
        <v>20</v>
      </c>
      <c r="M256">
        <v>22400</v>
      </c>
      <c r="N256">
        <v>19600</v>
      </c>
      <c r="O256">
        <v>2800</v>
      </c>
      <c r="P256" t="s">
        <v>54</v>
      </c>
      <c r="Q256" t="s">
        <v>33</v>
      </c>
      <c r="R256" t="str">
        <f>TEXT(SalesData[[#This Row],[Order Date]],"mmm")</f>
        <v>Oct</v>
      </c>
      <c r="S256" s="2" t="str">
        <f>"Q"&amp;ROUNDUP(MONTH(SalesData[[#This Row],[Order Date]])/3,0)</f>
        <v>Q4</v>
      </c>
      <c r="T256">
        <f>YEAR(SalesData[[#This Row],[Order Date]])</f>
        <v>2025</v>
      </c>
      <c r="U256">
        <f>SalesData[[#This Row],[Profit]]/SalesData[[#This Row],[Sales]]</f>
        <v>0.125</v>
      </c>
    </row>
    <row r="257" spans="1:21" x14ac:dyDescent="0.25">
      <c r="A257" t="s">
        <v>487</v>
      </c>
      <c r="B257" s="1">
        <v>45837</v>
      </c>
      <c r="C257" t="s">
        <v>48</v>
      </c>
      <c r="D257" t="s">
        <v>340</v>
      </c>
      <c r="E257" t="s">
        <v>44</v>
      </c>
      <c r="F257" t="s">
        <v>45</v>
      </c>
      <c r="G257" t="s">
        <v>22</v>
      </c>
      <c r="H257" t="s">
        <v>46</v>
      </c>
      <c r="I257" t="s">
        <v>72</v>
      </c>
      <c r="J257">
        <v>4</v>
      </c>
      <c r="K257">
        <v>9500</v>
      </c>
      <c r="L257">
        <v>10</v>
      </c>
      <c r="M257">
        <v>34200</v>
      </c>
      <c r="N257">
        <v>26600</v>
      </c>
      <c r="O257">
        <v>7600</v>
      </c>
      <c r="P257" t="s">
        <v>54</v>
      </c>
      <c r="Q257" t="s">
        <v>26</v>
      </c>
      <c r="R257" t="str">
        <f>TEXT(SalesData[[#This Row],[Order Date]],"mmm")</f>
        <v>Jun</v>
      </c>
      <c r="S257" s="2" t="str">
        <f>"Q"&amp;ROUNDUP(MONTH(SalesData[[#This Row],[Order Date]])/3,0)</f>
        <v>Q2</v>
      </c>
      <c r="T257">
        <f>YEAR(SalesData[[#This Row],[Order Date]])</f>
        <v>2025</v>
      </c>
      <c r="U257">
        <f>SalesData[[#This Row],[Profit]]/SalesData[[#This Row],[Sales]]</f>
        <v>0.22222222222222221</v>
      </c>
    </row>
    <row r="258" spans="1:21" x14ac:dyDescent="0.25">
      <c r="A258" t="s">
        <v>488</v>
      </c>
      <c r="B258" s="1">
        <v>45980</v>
      </c>
      <c r="C258" t="s">
        <v>115</v>
      </c>
      <c r="D258" t="s">
        <v>209</v>
      </c>
      <c r="E258" t="s">
        <v>30</v>
      </c>
      <c r="F258" t="s">
        <v>31</v>
      </c>
      <c r="G258" t="s">
        <v>22</v>
      </c>
      <c r="H258" t="s">
        <v>23</v>
      </c>
      <c r="I258" t="s">
        <v>80</v>
      </c>
      <c r="J258">
        <v>1</v>
      </c>
      <c r="K258">
        <v>800</v>
      </c>
      <c r="L258">
        <v>5</v>
      </c>
      <c r="M258">
        <v>760</v>
      </c>
      <c r="N258">
        <v>560</v>
      </c>
      <c r="O258">
        <v>200</v>
      </c>
      <c r="P258" t="s">
        <v>25</v>
      </c>
      <c r="Q258" t="s">
        <v>26</v>
      </c>
      <c r="R258" t="str">
        <f>TEXT(SalesData[[#This Row],[Order Date]],"mmm")</f>
        <v>Nov</v>
      </c>
      <c r="S258" s="2" t="str">
        <f>"Q"&amp;ROUNDUP(MONTH(SalesData[[#This Row],[Order Date]])/3,0)</f>
        <v>Q4</v>
      </c>
      <c r="T258">
        <f>YEAR(SalesData[[#This Row],[Order Date]])</f>
        <v>2025</v>
      </c>
      <c r="U258">
        <f>SalesData[[#This Row],[Profit]]/SalesData[[#This Row],[Sales]]</f>
        <v>0.26315789473684209</v>
      </c>
    </row>
    <row r="259" spans="1:21" x14ac:dyDescent="0.25">
      <c r="A259" t="s">
        <v>489</v>
      </c>
      <c r="B259" s="1">
        <v>45817</v>
      </c>
      <c r="C259" t="s">
        <v>115</v>
      </c>
      <c r="D259" t="s">
        <v>394</v>
      </c>
      <c r="E259" t="s">
        <v>70</v>
      </c>
      <c r="F259" t="s">
        <v>71</v>
      </c>
      <c r="G259" t="s">
        <v>22</v>
      </c>
      <c r="H259" t="s">
        <v>23</v>
      </c>
      <c r="I259" t="s">
        <v>72</v>
      </c>
      <c r="J259">
        <v>4</v>
      </c>
      <c r="K259">
        <v>1500</v>
      </c>
      <c r="L259">
        <v>15</v>
      </c>
      <c r="M259">
        <v>5100</v>
      </c>
      <c r="N259">
        <v>4200</v>
      </c>
      <c r="O259">
        <v>900</v>
      </c>
      <c r="P259" t="s">
        <v>58</v>
      </c>
      <c r="Q259" t="s">
        <v>76</v>
      </c>
      <c r="R259" t="str">
        <f>TEXT(SalesData[[#This Row],[Order Date]],"mmm")</f>
        <v>Jun</v>
      </c>
      <c r="S259" s="2" t="str">
        <f>"Q"&amp;ROUNDUP(MONTH(SalesData[[#This Row],[Order Date]])/3,0)</f>
        <v>Q2</v>
      </c>
      <c r="T259">
        <f>YEAR(SalesData[[#This Row],[Order Date]])</f>
        <v>2025</v>
      </c>
      <c r="U259">
        <f>SalesData[[#This Row],[Profit]]/SalesData[[#This Row],[Sales]]</f>
        <v>0.17647058823529413</v>
      </c>
    </row>
    <row r="260" spans="1:21" x14ac:dyDescent="0.25">
      <c r="A260" t="s">
        <v>490</v>
      </c>
      <c r="B260" s="1">
        <v>45839</v>
      </c>
      <c r="C260" t="s">
        <v>212</v>
      </c>
      <c r="D260" t="s">
        <v>166</v>
      </c>
      <c r="E260" t="s">
        <v>30</v>
      </c>
      <c r="F260" t="s">
        <v>31</v>
      </c>
      <c r="G260" t="s">
        <v>22</v>
      </c>
      <c r="H260" t="s">
        <v>46</v>
      </c>
      <c r="I260" t="s">
        <v>24</v>
      </c>
      <c r="J260">
        <v>10</v>
      </c>
      <c r="K260">
        <v>800</v>
      </c>
      <c r="L260">
        <v>5</v>
      </c>
      <c r="M260">
        <v>7600</v>
      </c>
      <c r="N260">
        <v>5600</v>
      </c>
      <c r="O260">
        <v>2000</v>
      </c>
      <c r="P260" t="s">
        <v>58</v>
      </c>
      <c r="Q260" t="s">
        <v>76</v>
      </c>
      <c r="R260" t="str">
        <f>TEXT(SalesData[[#This Row],[Order Date]],"mmm")</f>
        <v>Jul</v>
      </c>
      <c r="S260" s="2" t="str">
        <f>"Q"&amp;ROUNDUP(MONTH(SalesData[[#This Row],[Order Date]])/3,0)</f>
        <v>Q3</v>
      </c>
      <c r="T260">
        <f>YEAR(SalesData[[#This Row],[Order Date]])</f>
        <v>2025</v>
      </c>
      <c r="U260">
        <f>SalesData[[#This Row],[Profit]]/SalesData[[#This Row],[Sales]]</f>
        <v>0.26315789473684209</v>
      </c>
    </row>
    <row r="261" spans="1:21" x14ac:dyDescent="0.25">
      <c r="A261" t="s">
        <v>491</v>
      </c>
      <c r="B261" s="1">
        <v>45706</v>
      </c>
      <c r="C261" t="s">
        <v>332</v>
      </c>
      <c r="D261" t="s">
        <v>110</v>
      </c>
      <c r="E261" t="s">
        <v>62</v>
      </c>
      <c r="F261" t="s">
        <v>63</v>
      </c>
      <c r="G261" t="s">
        <v>64</v>
      </c>
      <c r="H261" t="s">
        <v>65</v>
      </c>
      <c r="I261" t="s">
        <v>72</v>
      </c>
      <c r="J261">
        <v>10</v>
      </c>
      <c r="K261">
        <v>8500</v>
      </c>
      <c r="L261">
        <v>20</v>
      </c>
      <c r="M261">
        <v>68000</v>
      </c>
      <c r="N261">
        <v>59499.999999999993</v>
      </c>
      <c r="O261">
        <v>8500.0000000000073</v>
      </c>
      <c r="P261" t="s">
        <v>40</v>
      </c>
      <c r="Q261" t="s">
        <v>33</v>
      </c>
      <c r="R261" t="str">
        <f>TEXT(SalesData[[#This Row],[Order Date]],"mmm")</f>
        <v>Feb</v>
      </c>
      <c r="S261" s="2" t="str">
        <f>"Q"&amp;ROUNDUP(MONTH(SalesData[[#This Row],[Order Date]])/3,0)</f>
        <v>Q1</v>
      </c>
      <c r="T261">
        <f>YEAR(SalesData[[#This Row],[Order Date]])</f>
        <v>2025</v>
      </c>
      <c r="U261">
        <f>SalesData[[#This Row],[Profit]]/SalesData[[#This Row],[Sales]]</f>
        <v>0.12500000000000011</v>
      </c>
    </row>
    <row r="262" spans="1:21" x14ac:dyDescent="0.25">
      <c r="A262" t="s">
        <v>492</v>
      </c>
      <c r="B262" s="1">
        <v>45703</v>
      </c>
      <c r="C262" t="s">
        <v>56</v>
      </c>
      <c r="D262" t="s">
        <v>161</v>
      </c>
      <c r="E262" t="s">
        <v>37</v>
      </c>
      <c r="F262" t="s">
        <v>38</v>
      </c>
      <c r="G262" t="s">
        <v>22</v>
      </c>
      <c r="H262" t="s">
        <v>23</v>
      </c>
      <c r="I262" t="s">
        <v>66</v>
      </c>
      <c r="J262">
        <v>7</v>
      </c>
      <c r="K262">
        <v>55000</v>
      </c>
      <c r="L262">
        <v>15</v>
      </c>
      <c r="M262">
        <v>327250</v>
      </c>
      <c r="N262">
        <v>269500</v>
      </c>
      <c r="O262">
        <v>57750</v>
      </c>
      <c r="P262" t="s">
        <v>58</v>
      </c>
      <c r="Q262" t="s">
        <v>33</v>
      </c>
      <c r="R262" t="str">
        <f>TEXT(SalesData[[#This Row],[Order Date]],"mmm")</f>
        <v>Feb</v>
      </c>
      <c r="S262" s="2" t="str">
        <f>"Q"&amp;ROUNDUP(MONTH(SalesData[[#This Row],[Order Date]])/3,0)</f>
        <v>Q1</v>
      </c>
      <c r="T262">
        <f>YEAR(SalesData[[#This Row],[Order Date]])</f>
        <v>2025</v>
      </c>
      <c r="U262">
        <f>SalesData[[#This Row],[Profit]]/SalesData[[#This Row],[Sales]]</f>
        <v>0.17647058823529413</v>
      </c>
    </row>
    <row r="263" spans="1:21" x14ac:dyDescent="0.25">
      <c r="A263" t="s">
        <v>493</v>
      </c>
      <c r="B263" s="1">
        <v>45757</v>
      </c>
      <c r="C263" t="s">
        <v>219</v>
      </c>
      <c r="D263" t="s">
        <v>116</v>
      </c>
      <c r="E263" t="s">
        <v>37</v>
      </c>
      <c r="F263" t="s">
        <v>38</v>
      </c>
      <c r="G263" t="s">
        <v>22</v>
      </c>
      <c r="H263" t="s">
        <v>65</v>
      </c>
      <c r="I263" t="s">
        <v>80</v>
      </c>
      <c r="J263">
        <v>10</v>
      </c>
      <c r="K263">
        <v>55000</v>
      </c>
      <c r="L263">
        <v>15</v>
      </c>
      <c r="M263">
        <v>467500</v>
      </c>
      <c r="N263">
        <v>385000</v>
      </c>
      <c r="O263">
        <v>82500</v>
      </c>
      <c r="P263" t="s">
        <v>54</v>
      </c>
      <c r="Q263" t="s">
        <v>76</v>
      </c>
      <c r="R263" t="str">
        <f>TEXT(SalesData[[#This Row],[Order Date]],"mmm")</f>
        <v>Apr</v>
      </c>
      <c r="S263" s="2" t="str">
        <f>"Q"&amp;ROUNDUP(MONTH(SalesData[[#This Row],[Order Date]])/3,0)</f>
        <v>Q2</v>
      </c>
      <c r="T263">
        <f>YEAR(SalesData[[#This Row],[Order Date]])</f>
        <v>2025</v>
      </c>
      <c r="U263">
        <f>SalesData[[#This Row],[Profit]]/SalesData[[#This Row],[Sales]]</f>
        <v>0.17647058823529413</v>
      </c>
    </row>
    <row r="264" spans="1:21" x14ac:dyDescent="0.25">
      <c r="A264" t="s">
        <v>494</v>
      </c>
      <c r="B264" s="1">
        <v>45661</v>
      </c>
      <c r="C264" t="s">
        <v>495</v>
      </c>
      <c r="D264" t="s">
        <v>496</v>
      </c>
      <c r="E264" t="s">
        <v>44</v>
      </c>
      <c r="F264" t="s">
        <v>45</v>
      </c>
      <c r="G264" t="s">
        <v>22</v>
      </c>
      <c r="H264" t="s">
        <v>46</v>
      </c>
      <c r="I264" t="s">
        <v>72</v>
      </c>
      <c r="J264">
        <v>1</v>
      </c>
      <c r="K264">
        <v>9500</v>
      </c>
      <c r="L264">
        <v>10</v>
      </c>
      <c r="M264">
        <v>8550</v>
      </c>
      <c r="N264">
        <v>6650</v>
      </c>
      <c r="O264">
        <v>1900</v>
      </c>
      <c r="P264" t="s">
        <v>25</v>
      </c>
      <c r="Q264" t="s">
        <v>76</v>
      </c>
      <c r="R264" t="str">
        <f>TEXT(SalesData[[#This Row],[Order Date]],"mmm")</f>
        <v>Jan</v>
      </c>
      <c r="S264" s="2" t="str">
        <f>"Q"&amp;ROUNDUP(MONTH(SalesData[[#This Row],[Order Date]])/3,0)</f>
        <v>Q1</v>
      </c>
      <c r="T264">
        <f>YEAR(SalesData[[#This Row],[Order Date]])</f>
        <v>2025</v>
      </c>
      <c r="U264">
        <f>SalesData[[#This Row],[Profit]]/SalesData[[#This Row],[Sales]]</f>
        <v>0.22222222222222221</v>
      </c>
    </row>
    <row r="265" spans="1:21" x14ac:dyDescent="0.25">
      <c r="A265" t="s">
        <v>497</v>
      </c>
      <c r="B265" s="1">
        <v>45922</v>
      </c>
      <c r="C265" t="s">
        <v>219</v>
      </c>
      <c r="D265" t="s">
        <v>116</v>
      </c>
      <c r="E265" t="s">
        <v>70</v>
      </c>
      <c r="F265" t="s">
        <v>71</v>
      </c>
      <c r="G265" t="s">
        <v>22</v>
      </c>
      <c r="H265" t="s">
        <v>65</v>
      </c>
      <c r="I265" t="s">
        <v>39</v>
      </c>
      <c r="J265">
        <v>8</v>
      </c>
      <c r="K265">
        <v>1500</v>
      </c>
      <c r="L265">
        <v>20</v>
      </c>
      <c r="M265">
        <v>9600</v>
      </c>
      <c r="N265">
        <v>8400</v>
      </c>
      <c r="O265">
        <v>1200</v>
      </c>
      <c r="P265" t="s">
        <v>25</v>
      </c>
      <c r="Q265" t="s">
        <v>33</v>
      </c>
      <c r="R265" t="str">
        <f>TEXT(SalesData[[#This Row],[Order Date]],"mmm")</f>
        <v>Sep</v>
      </c>
      <c r="S265" s="2" t="str">
        <f>"Q"&amp;ROUNDUP(MONTH(SalesData[[#This Row],[Order Date]])/3,0)</f>
        <v>Q3</v>
      </c>
      <c r="T265">
        <f>YEAR(SalesData[[#This Row],[Order Date]])</f>
        <v>2025</v>
      </c>
      <c r="U265">
        <f>SalesData[[#This Row],[Profit]]/SalesData[[#This Row],[Sales]]</f>
        <v>0.125</v>
      </c>
    </row>
    <row r="266" spans="1:21" x14ac:dyDescent="0.25">
      <c r="A266" t="s">
        <v>498</v>
      </c>
      <c r="B266" s="1">
        <v>45797</v>
      </c>
      <c r="C266" t="s">
        <v>138</v>
      </c>
      <c r="D266" t="s">
        <v>499</v>
      </c>
      <c r="E266" t="s">
        <v>30</v>
      </c>
      <c r="F266" t="s">
        <v>31</v>
      </c>
      <c r="G266" t="s">
        <v>22</v>
      </c>
      <c r="H266" t="s">
        <v>23</v>
      </c>
      <c r="I266" t="s">
        <v>39</v>
      </c>
      <c r="J266">
        <v>5</v>
      </c>
      <c r="K266">
        <v>800</v>
      </c>
      <c r="L266">
        <v>20</v>
      </c>
      <c r="M266">
        <v>3200</v>
      </c>
      <c r="N266">
        <v>2800</v>
      </c>
      <c r="O266">
        <v>400</v>
      </c>
      <c r="P266" t="s">
        <v>54</v>
      </c>
      <c r="Q266" t="s">
        <v>26</v>
      </c>
      <c r="R266" t="str">
        <f>TEXT(SalesData[[#This Row],[Order Date]],"mmm")</f>
        <v>May</v>
      </c>
      <c r="S266" s="2" t="str">
        <f>"Q"&amp;ROUNDUP(MONTH(SalesData[[#This Row],[Order Date]])/3,0)</f>
        <v>Q2</v>
      </c>
      <c r="T266">
        <f>YEAR(SalesData[[#This Row],[Order Date]])</f>
        <v>2025</v>
      </c>
      <c r="U266">
        <f>SalesData[[#This Row],[Profit]]/SalesData[[#This Row],[Sales]]</f>
        <v>0.125</v>
      </c>
    </row>
    <row r="267" spans="1:21" x14ac:dyDescent="0.25">
      <c r="A267" t="s">
        <v>500</v>
      </c>
      <c r="B267" s="1">
        <v>45703</v>
      </c>
      <c r="C267" t="s">
        <v>501</v>
      </c>
      <c r="D267" t="s">
        <v>502</v>
      </c>
      <c r="E267" t="s">
        <v>62</v>
      </c>
      <c r="F267" t="s">
        <v>63</v>
      </c>
      <c r="G267" t="s">
        <v>64</v>
      </c>
      <c r="H267" t="s">
        <v>65</v>
      </c>
      <c r="I267" t="s">
        <v>24</v>
      </c>
      <c r="J267">
        <v>1</v>
      </c>
      <c r="K267">
        <v>8500</v>
      </c>
      <c r="L267">
        <v>20</v>
      </c>
      <c r="M267">
        <v>6800</v>
      </c>
      <c r="N267">
        <v>5950</v>
      </c>
      <c r="O267">
        <v>850</v>
      </c>
      <c r="P267" t="s">
        <v>58</v>
      </c>
      <c r="Q267" t="s">
        <v>26</v>
      </c>
      <c r="R267" t="str">
        <f>TEXT(SalesData[[#This Row],[Order Date]],"mmm")</f>
        <v>Feb</v>
      </c>
      <c r="S267" s="2" t="str">
        <f>"Q"&amp;ROUNDUP(MONTH(SalesData[[#This Row],[Order Date]])/3,0)</f>
        <v>Q1</v>
      </c>
      <c r="T267">
        <f>YEAR(SalesData[[#This Row],[Order Date]])</f>
        <v>2025</v>
      </c>
      <c r="U267">
        <f>SalesData[[#This Row],[Profit]]/SalesData[[#This Row],[Sales]]</f>
        <v>0.125</v>
      </c>
    </row>
    <row r="268" spans="1:21" x14ac:dyDescent="0.25">
      <c r="A268" t="s">
        <v>503</v>
      </c>
      <c r="B268" s="1">
        <v>45980</v>
      </c>
      <c r="C268" t="s">
        <v>367</v>
      </c>
      <c r="D268" t="s">
        <v>502</v>
      </c>
      <c r="E268" t="s">
        <v>37</v>
      </c>
      <c r="F268" t="s">
        <v>38</v>
      </c>
      <c r="G268" t="s">
        <v>22</v>
      </c>
      <c r="H268" t="s">
        <v>65</v>
      </c>
      <c r="I268" t="s">
        <v>39</v>
      </c>
      <c r="J268">
        <v>9</v>
      </c>
      <c r="K268">
        <v>55000</v>
      </c>
      <c r="L268">
        <v>0</v>
      </c>
      <c r="M268">
        <v>495000</v>
      </c>
      <c r="N268">
        <v>346500</v>
      </c>
      <c r="O268">
        <v>148500</v>
      </c>
      <c r="P268" t="s">
        <v>40</v>
      </c>
      <c r="Q268" t="s">
        <v>26</v>
      </c>
      <c r="R268" t="str">
        <f>TEXT(SalesData[[#This Row],[Order Date]],"mmm")</f>
        <v>Nov</v>
      </c>
      <c r="S268" s="2" t="str">
        <f>"Q"&amp;ROUNDUP(MONTH(SalesData[[#This Row],[Order Date]])/3,0)</f>
        <v>Q4</v>
      </c>
      <c r="T268">
        <f>YEAR(SalesData[[#This Row],[Order Date]])</f>
        <v>2025</v>
      </c>
      <c r="U268">
        <f>SalesData[[#This Row],[Profit]]/SalesData[[#This Row],[Sales]]</f>
        <v>0.3</v>
      </c>
    </row>
    <row r="269" spans="1:21" x14ac:dyDescent="0.25">
      <c r="A269" t="s">
        <v>504</v>
      </c>
      <c r="B269" s="1">
        <v>45851</v>
      </c>
      <c r="C269" t="s">
        <v>221</v>
      </c>
      <c r="D269" t="s">
        <v>505</v>
      </c>
      <c r="E269" t="s">
        <v>93</v>
      </c>
      <c r="F269" t="s">
        <v>94</v>
      </c>
      <c r="G269" t="s">
        <v>64</v>
      </c>
      <c r="H269" t="s">
        <v>46</v>
      </c>
      <c r="I269" t="s">
        <v>39</v>
      </c>
      <c r="J269">
        <v>1</v>
      </c>
      <c r="K269">
        <v>4500</v>
      </c>
      <c r="L269">
        <v>10</v>
      </c>
      <c r="M269">
        <v>4050</v>
      </c>
      <c r="N269">
        <v>3150</v>
      </c>
      <c r="O269">
        <v>900</v>
      </c>
      <c r="P269" t="s">
        <v>54</v>
      </c>
      <c r="Q269" t="s">
        <v>33</v>
      </c>
      <c r="R269" t="str">
        <f>TEXT(SalesData[[#This Row],[Order Date]],"mmm")</f>
        <v>Jul</v>
      </c>
      <c r="S269" s="2" t="str">
        <f>"Q"&amp;ROUNDUP(MONTH(SalesData[[#This Row],[Order Date]])/3,0)</f>
        <v>Q3</v>
      </c>
      <c r="T269">
        <f>YEAR(SalesData[[#This Row],[Order Date]])</f>
        <v>2025</v>
      </c>
      <c r="U269">
        <f>SalesData[[#This Row],[Profit]]/SalesData[[#This Row],[Sales]]</f>
        <v>0.22222222222222221</v>
      </c>
    </row>
    <row r="270" spans="1:21" x14ac:dyDescent="0.25">
      <c r="A270" t="s">
        <v>506</v>
      </c>
      <c r="B270" s="1">
        <v>45877</v>
      </c>
      <c r="C270" t="s">
        <v>127</v>
      </c>
      <c r="D270" t="s">
        <v>166</v>
      </c>
      <c r="E270" t="s">
        <v>93</v>
      </c>
      <c r="F270" t="s">
        <v>94</v>
      </c>
      <c r="G270" t="s">
        <v>64</v>
      </c>
      <c r="H270" t="s">
        <v>32</v>
      </c>
      <c r="I270" t="s">
        <v>80</v>
      </c>
      <c r="J270">
        <v>6</v>
      </c>
      <c r="K270">
        <v>4500</v>
      </c>
      <c r="L270">
        <v>10</v>
      </c>
      <c r="M270">
        <v>24300</v>
      </c>
      <c r="N270">
        <v>18900</v>
      </c>
      <c r="O270">
        <v>5400</v>
      </c>
      <c r="P270" t="s">
        <v>25</v>
      </c>
      <c r="Q270" t="s">
        <v>33</v>
      </c>
      <c r="R270" t="str">
        <f>TEXT(SalesData[[#This Row],[Order Date]],"mmm")</f>
        <v>Aug</v>
      </c>
      <c r="S270" s="2" t="str">
        <f>"Q"&amp;ROUNDUP(MONTH(SalesData[[#This Row],[Order Date]])/3,0)</f>
        <v>Q3</v>
      </c>
      <c r="T270">
        <f>YEAR(SalesData[[#This Row],[Order Date]])</f>
        <v>2025</v>
      </c>
      <c r="U270">
        <f>SalesData[[#This Row],[Profit]]/SalesData[[#This Row],[Sales]]</f>
        <v>0.22222222222222221</v>
      </c>
    </row>
    <row r="271" spans="1:21" x14ac:dyDescent="0.25">
      <c r="A271" t="s">
        <v>507</v>
      </c>
      <c r="B271" s="1">
        <v>45697</v>
      </c>
      <c r="C271" t="s">
        <v>448</v>
      </c>
      <c r="D271" t="s">
        <v>340</v>
      </c>
      <c r="E271" t="s">
        <v>30</v>
      </c>
      <c r="F271" t="s">
        <v>31</v>
      </c>
      <c r="G271" t="s">
        <v>22</v>
      </c>
      <c r="H271" t="s">
        <v>32</v>
      </c>
      <c r="I271" t="s">
        <v>24</v>
      </c>
      <c r="J271">
        <v>2</v>
      </c>
      <c r="K271">
        <v>800</v>
      </c>
      <c r="L271">
        <v>15</v>
      </c>
      <c r="M271">
        <v>1360</v>
      </c>
      <c r="N271">
        <v>1120</v>
      </c>
      <c r="O271">
        <v>240</v>
      </c>
      <c r="P271" t="s">
        <v>58</v>
      </c>
      <c r="Q271" t="s">
        <v>76</v>
      </c>
      <c r="R271" t="str">
        <f>TEXT(SalesData[[#This Row],[Order Date]],"mmm")</f>
        <v>Feb</v>
      </c>
      <c r="S271" s="2" t="str">
        <f>"Q"&amp;ROUNDUP(MONTH(SalesData[[#This Row],[Order Date]])/3,0)</f>
        <v>Q1</v>
      </c>
      <c r="T271">
        <f>YEAR(SalesData[[#This Row],[Order Date]])</f>
        <v>2025</v>
      </c>
      <c r="U271">
        <f>SalesData[[#This Row],[Profit]]/SalesData[[#This Row],[Sales]]</f>
        <v>0.17647058823529413</v>
      </c>
    </row>
    <row r="272" spans="1:21" x14ac:dyDescent="0.25">
      <c r="A272" t="s">
        <v>508</v>
      </c>
      <c r="B272" s="1">
        <v>45743</v>
      </c>
      <c r="C272" t="s">
        <v>60</v>
      </c>
      <c r="D272" t="s">
        <v>275</v>
      </c>
      <c r="E272" t="s">
        <v>50</v>
      </c>
      <c r="F272" t="s">
        <v>51</v>
      </c>
      <c r="G272" t="s">
        <v>52</v>
      </c>
      <c r="H272" t="s">
        <v>23</v>
      </c>
      <c r="I272" t="s">
        <v>24</v>
      </c>
      <c r="J272">
        <v>6</v>
      </c>
      <c r="K272">
        <v>3200</v>
      </c>
      <c r="L272">
        <v>0</v>
      </c>
      <c r="M272">
        <v>19200</v>
      </c>
      <c r="N272">
        <v>13440</v>
      </c>
      <c r="O272">
        <v>5760</v>
      </c>
      <c r="P272" t="s">
        <v>58</v>
      </c>
      <c r="Q272" t="s">
        <v>76</v>
      </c>
      <c r="R272" t="str">
        <f>TEXT(SalesData[[#This Row],[Order Date]],"mmm")</f>
        <v>Mar</v>
      </c>
      <c r="S272" s="2" t="str">
        <f>"Q"&amp;ROUNDUP(MONTH(SalesData[[#This Row],[Order Date]])/3,0)</f>
        <v>Q1</v>
      </c>
      <c r="T272">
        <f>YEAR(SalesData[[#This Row],[Order Date]])</f>
        <v>2025</v>
      </c>
      <c r="U272">
        <f>SalesData[[#This Row],[Profit]]/SalesData[[#This Row],[Sales]]</f>
        <v>0.3</v>
      </c>
    </row>
    <row r="273" spans="1:21" x14ac:dyDescent="0.25">
      <c r="A273" t="s">
        <v>509</v>
      </c>
      <c r="B273" s="1">
        <v>45946</v>
      </c>
      <c r="C273" t="s">
        <v>250</v>
      </c>
      <c r="D273" t="s">
        <v>177</v>
      </c>
      <c r="E273" t="s">
        <v>30</v>
      </c>
      <c r="F273" t="s">
        <v>31</v>
      </c>
      <c r="G273" t="s">
        <v>22</v>
      </c>
      <c r="H273" t="s">
        <v>46</v>
      </c>
      <c r="I273" t="s">
        <v>80</v>
      </c>
      <c r="J273">
        <v>1</v>
      </c>
      <c r="K273">
        <v>800</v>
      </c>
      <c r="L273">
        <v>10</v>
      </c>
      <c r="M273">
        <v>720</v>
      </c>
      <c r="N273">
        <v>560</v>
      </c>
      <c r="O273">
        <v>160</v>
      </c>
      <c r="P273" t="s">
        <v>40</v>
      </c>
      <c r="Q273" t="s">
        <v>76</v>
      </c>
      <c r="R273" t="str">
        <f>TEXT(SalesData[[#This Row],[Order Date]],"mmm")</f>
        <v>Oct</v>
      </c>
      <c r="S273" s="2" t="str">
        <f>"Q"&amp;ROUNDUP(MONTH(SalesData[[#This Row],[Order Date]])/3,0)</f>
        <v>Q4</v>
      </c>
      <c r="T273">
        <f>YEAR(SalesData[[#This Row],[Order Date]])</f>
        <v>2025</v>
      </c>
      <c r="U273">
        <f>SalesData[[#This Row],[Profit]]/SalesData[[#This Row],[Sales]]</f>
        <v>0.22222222222222221</v>
      </c>
    </row>
    <row r="274" spans="1:21" x14ac:dyDescent="0.25">
      <c r="A274" t="s">
        <v>510</v>
      </c>
      <c r="B274" s="1">
        <v>45809</v>
      </c>
      <c r="C274" t="s">
        <v>107</v>
      </c>
      <c r="D274" t="s">
        <v>164</v>
      </c>
      <c r="E274" t="s">
        <v>20</v>
      </c>
      <c r="F274" t="s">
        <v>21</v>
      </c>
      <c r="G274" t="s">
        <v>22</v>
      </c>
      <c r="H274" t="s">
        <v>32</v>
      </c>
      <c r="I274" t="s">
        <v>39</v>
      </c>
      <c r="J274">
        <v>1</v>
      </c>
      <c r="K274">
        <v>3500</v>
      </c>
      <c r="L274">
        <v>20</v>
      </c>
      <c r="M274">
        <v>2800</v>
      </c>
      <c r="N274">
        <v>2450</v>
      </c>
      <c r="O274">
        <v>350</v>
      </c>
      <c r="P274" t="s">
        <v>54</v>
      </c>
      <c r="Q274" t="s">
        <v>26</v>
      </c>
      <c r="R274" t="str">
        <f>TEXT(SalesData[[#This Row],[Order Date]],"mmm")</f>
        <v>Jun</v>
      </c>
      <c r="S274" s="2" t="str">
        <f>"Q"&amp;ROUNDUP(MONTH(SalesData[[#This Row],[Order Date]])/3,0)</f>
        <v>Q2</v>
      </c>
      <c r="T274">
        <f>YEAR(SalesData[[#This Row],[Order Date]])</f>
        <v>2025</v>
      </c>
      <c r="U274">
        <f>SalesData[[#This Row],[Profit]]/SalesData[[#This Row],[Sales]]</f>
        <v>0.125</v>
      </c>
    </row>
    <row r="275" spans="1:21" x14ac:dyDescent="0.25">
      <c r="A275" t="s">
        <v>511</v>
      </c>
      <c r="B275" s="1">
        <v>45686</v>
      </c>
      <c r="C275" t="s">
        <v>216</v>
      </c>
      <c r="D275" t="s">
        <v>145</v>
      </c>
      <c r="E275" t="s">
        <v>20</v>
      </c>
      <c r="F275" t="s">
        <v>21</v>
      </c>
      <c r="G275" t="s">
        <v>22</v>
      </c>
      <c r="H275" t="s">
        <v>65</v>
      </c>
      <c r="I275" t="s">
        <v>66</v>
      </c>
      <c r="J275">
        <v>2</v>
      </c>
      <c r="K275">
        <v>3500</v>
      </c>
      <c r="L275">
        <v>20</v>
      </c>
      <c r="M275">
        <v>5600</v>
      </c>
      <c r="N275">
        <v>4900</v>
      </c>
      <c r="O275">
        <v>700</v>
      </c>
      <c r="P275" t="s">
        <v>58</v>
      </c>
      <c r="Q275" t="s">
        <v>33</v>
      </c>
      <c r="R275" t="str">
        <f>TEXT(SalesData[[#This Row],[Order Date]],"mmm")</f>
        <v>Jan</v>
      </c>
      <c r="S275" s="2" t="str">
        <f>"Q"&amp;ROUNDUP(MONTH(SalesData[[#This Row],[Order Date]])/3,0)</f>
        <v>Q1</v>
      </c>
      <c r="T275">
        <f>YEAR(SalesData[[#This Row],[Order Date]])</f>
        <v>2025</v>
      </c>
      <c r="U275">
        <f>SalesData[[#This Row],[Profit]]/SalesData[[#This Row],[Sales]]</f>
        <v>0.125</v>
      </c>
    </row>
    <row r="276" spans="1:21" x14ac:dyDescent="0.25">
      <c r="A276" t="s">
        <v>512</v>
      </c>
      <c r="B276" s="1">
        <v>45940</v>
      </c>
      <c r="C276" t="s">
        <v>168</v>
      </c>
      <c r="D276" t="s">
        <v>145</v>
      </c>
      <c r="E276" t="s">
        <v>70</v>
      </c>
      <c r="F276" t="s">
        <v>71</v>
      </c>
      <c r="G276" t="s">
        <v>22</v>
      </c>
      <c r="H276" t="s">
        <v>46</v>
      </c>
      <c r="I276" t="s">
        <v>66</v>
      </c>
      <c r="J276">
        <v>2</v>
      </c>
      <c r="K276">
        <v>1500</v>
      </c>
      <c r="L276">
        <v>10</v>
      </c>
      <c r="M276">
        <v>2700</v>
      </c>
      <c r="N276">
        <v>2100</v>
      </c>
      <c r="O276">
        <v>600</v>
      </c>
      <c r="P276" t="s">
        <v>25</v>
      </c>
      <c r="Q276" t="s">
        <v>76</v>
      </c>
      <c r="R276" t="str">
        <f>TEXT(SalesData[[#This Row],[Order Date]],"mmm")</f>
        <v>Oct</v>
      </c>
      <c r="S276" s="2" t="str">
        <f>"Q"&amp;ROUNDUP(MONTH(SalesData[[#This Row],[Order Date]])/3,0)</f>
        <v>Q4</v>
      </c>
      <c r="T276">
        <f>YEAR(SalesData[[#This Row],[Order Date]])</f>
        <v>2025</v>
      </c>
      <c r="U276">
        <f>SalesData[[#This Row],[Profit]]/SalesData[[#This Row],[Sales]]</f>
        <v>0.22222222222222221</v>
      </c>
    </row>
    <row r="277" spans="1:21" x14ac:dyDescent="0.25">
      <c r="A277" t="s">
        <v>513</v>
      </c>
      <c r="B277" s="1">
        <v>45929</v>
      </c>
      <c r="C277" t="s">
        <v>367</v>
      </c>
      <c r="D277" t="s">
        <v>161</v>
      </c>
      <c r="E277" t="s">
        <v>62</v>
      </c>
      <c r="F277" t="s">
        <v>63</v>
      </c>
      <c r="G277" t="s">
        <v>64</v>
      </c>
      <c r="H277" t="s">
        <v>65</v>
      </c>
      <c r="I277" t="s">
        <v>39</v>
      </c>
      <c r="J277">
        <v>1</v>
      </c>
      <c r="K277">
        <v>8500</v>
      </c>
      <c r="L277">
        <v>15</v>
      </c>
      <c r="M277">
        <v>7225</v>
      </c>
      <c r="N277">
        <v>5950</v>
      </c>
      <c r="O277">
        <v>1275</v>
      </c>
      <c r="P277" t="s">
        <v>58</v>
      </c>
      <c r="Q277" t="s">
        <v>76</v>
      </c>
      <c r="R277" t="str">
        <f>TEXT(SalesData[[#This Row],[Order Date]],"mmm")</f>
        <v>Sep</v>
      </c>
      <c r="S277" s="2" t="str">
        <f>"Q"&amp;ROUNDUP(MONTH(SalesData[[#This Row],[Order Date]])/3,0)</f>
        <v>Q3</v>
      </c>
      <c r="T277">
        <f>YEAR(SalesData[[#This Row],[Order Date]])</f>
        <v>2025</v>
      </c>
      <c r="U277">
        <f>SalesData[[#This Row],[Profit]]/SalesData[[#This Row],[Sales]]</f>
        <v>0.17647058823529413</v>
      </c>
    </row>
    <row r="278" spans="1:21" x14ac:dyDescent="0.25">
      <c r="A278" t="s">
        <v>514</v>
      </c>
      <c r="B278" s="1">
        <v>45932</v>
      </c>
      <c r="C278" t="s">
        <v>74</v>
      </c>
      <c r="D278" t="s">
        <v>153</v>
      </c>
      <c r="E278" t="s">
        <v>93</v>
      </c>
      <c r="F278" t="s">
        <v>94</v>
      </c>
      <c r="G278" t="s">
        <v>64</v>
      </c>
      <c r="H278" t="s">
        <v>32</v>
      </c>
      <c r="I278" t="s">
        <v>24</v>
      </c>
      <c r="J278">
        <v>1</v>
      </c>
      <c r="K278">
        <v>4500</v>
      </c>
      <c r="L278">
        <v>20</v>
      </c>
      <c r="M278">
        <v>3600</v>
      </c>
      <c r="N278">
        <v>3150</v>
      </c>
      <c r="O278">
        <v>450</v>
      </c>
      <c r="P278" t="s">
        <v>40</v>
      </c>
      <c r="Q278" t="s">
        <v>76</v>
      </c>
      <c r="R278" t="str">
        <f>TEXT(SalesData[[#This Row],[Order Date]],"mmm")</f>
        <v>Oct</v>
      </c>
      <c r="S278" s="2" t="str">
        <f>"Q"&amp;ROUNDUP(MONTH(SalesData[[#This Row],[Order Date]])/3,0)</f>
        <v>Q4</v>
      </c>
      <c r="T278">
        <f>YEAR(SalesData[[#This Row],[Order Date]])</f>
        <v>2025</v>
      </c>
      <c r="U278">
        <f>SalesData[[#This Row],[Profit]]/SalesData[[#This Row],[Sales]]</f>
        <v>0.125</v>
      </c>
    </row>
    <row r="279" spans="1:21" x14ac:dyDescent="0.25">
      <c r="A279" t="s">
        <v>515</v>
      </c>
      <c r="B279" s="1">
        <v>45682</v>
      </c>
      <c r="C279" t="s">
        <v>448</v>
      </c>
      <c r="D279" t="s">
        <v>113</v>
      </c>
      <c r="E279" t="s">
        <v>37</v>
      </c>
      <c r="F279" t="s">
        <v>38</v>
      </c>
      <c r="G279" t="s">
        <v>22</v>
      </c>
      <c r="H279" t="s">
        <v>23</v>
      </c>
      <c r="I279" t="s">
        <v>72</v>
      </c>
      <c r="J279">
        <v>10</v>
      </c>
      <c r="K279">
        <v>55000</v>
      </c>
      <c r="L279">
        <v>15</v>
      </c>
      <c r="M279">
        <v>467500</v>
      </c>
      <c r="N279">
        <v>385000</v>
      </c>
      <c r="O279">
        <v>82500</v>
      </c>
      <c r="P279" t="s">
        <v>54</v>
      </c>
      <c r="Q279" t="s">
        <v>26</v>
      </c>
      <c r="R279" t="str">
        <f>TEXT(SalesData[[#This Row],[Order Date]],"mmm")</f>
        <v>Jan</v>
      </c>
      <c r="S279" s="2" t="str">
        <f>"Q"&amp;ROUNDUP(MONTH(SalesData[[#This Row],[Order Date]])/3,0)</f>
        <v>Q1</v>
      </c>
      <c r="T279">
        <f>YEAR(SalesData[[#This Row],[Order Date]])</f>
        <v>2025</v>
      </c>
      <c r="U279">
        <f>SalesData[[#This Row],[Profit]]/SalesData[[#This Row],[Sales]]</f>
        <v>0.17647058823529413</v>
      </c>
    </row>
    <row r="280" spans="1:21" x14ac:dyDescent="0.25">
      <c r="A280" t="s">
        <v>516</v>
      </c>
      <c r="B280" s="1">
        <v>45667</v>
      </c>
      <c r="C280" t="s">
        <v>152</v>
      </c>
      <c r="D280" t="s">
        <v>352</v>
      </c>
      <c r="E280" t="s">
        <v>70</v>
      </c>
      <c r="F280" t="s">
        <v>71</v>
      </c>
      <c r="G280" t="s">
        <v>22</v>
      </c>
      <c r="H280" t="s">
        <v>46</v>
      </c>
      <c r="I280" t="s">
        <v>39</v>
      </c>
      <c r="J280">
        <v>9</v>
      </c>
      <c r="K280">
        <v>1500</v>
      </c>
      <c r="L280">
        <v>20</v>
      </c>
      <c r="M280">
        <v>10800</v>
      </c>
      <c r="N280">
        <v>9450</v>
      </c>
      <c r="O280">
        <v>1350</v>
      </c>
      <c r="P280" t="s">
        <v>40</v>
      </c>
      <c r="Q280" t="s">
        <v>76</v>
      </c>
      <c r="R280" t="str">
        <f>TEXT(SalesData[[#This Row],[Order Date]],"mmm")</f>
        <v>Jan</v>
      </c>
      <c r="S280" s="2" t="str">
        <f>"Q"&amp;ROUNDUP(MONTH(SalesData[[#This Row],[Order Date]])/3,0)</f>
        <v>Q1</v>
      </c>
      <c r="T280">
        <f>YEAR(SalesData[[#This Row],[Order Date]])</f>
        <v>2025</v>
      </c>
      <c r="U280">
        <f>SalesData[[#This Row],[Profit]]/SalesData[[#This Row],[Sales]]</f>
        <v>0.125</v>
      </c>
    </row>
    <row r="281" spans="1:21" x14ac:dyDescent="0.25">
      <c r="A281" t="s">
        <v>517</v>
      </c>
      <c r="B281" s="1">
        <v>45843</v>
      </c>
      <c r="C281" t="s">
        <v>261</v>
      </c>
      <c r="D281" t="s">
        <v>61</v>
      </c>
      <c r="E281" t="s">
        <v>93</v>
      </c>
      <c r="F281" t="s">
        <v>94</v>
      </c>
      <c r="G281" t="s">
        <v>64</v>
      </c>
      <c r="H281" t="s">
        <v>65</v>
      </c>
      <c r="I281" t="s">
        <v>72</v>
      </c>
      <c r="J281">
        <v>6</v>
      </c>
      <c r="K281">
        <v>4500</v>
      </c>
      <c r="L281">
        <v>10</v>
      </c>
      <c r="M281">
        <v>24300</v>
      </c>
      <c r="N281">
        <v>18900</v>
      </c>
      <c r="O281">
        <v>5400</v>
      </c>
      <c r="P281" t="s">
        <v>25</v>
      </c>
      <c r="Q281" t="s">
        <v>76</v>
      </c>
      <c r="R281" t="str">
        <f>TEXT(SalesData[[#This Row],[Order Date]],"mmm")</f>
        <v>Jul</v>
      </c>
      <c r="S281" s="2" t="str">
        <f>"Q"&amp;ROUNDUP(MONTH(SalesData[[#This Row],[Order Date]])/3,0)</f>
        <v>Q3</v>
      </c>
      <c r="T281">
        <f>YEAR(SalesData[[#This Row],[Order Date]])</f>
        <v>2025</v>
      </c>
      <c r="U281">
        <f>SalesData[[#This Row],[Profit]]/SalesData[[#This Row],[Sales]]</f>
        <v>0.22222222222222221</v>
      </c>
    </row>
    <row r="282" spans="1:21" x14ac:dyDescent="0.25">
      <c r="A282" t="s">
        <v>518</v>
      </c>
      <c r="B282" s="1">
        <v>45725</v>
      </c>
      <c r="C282" t="s">
        <v>226</v>
      </c>
      <c r="D282" t="s">
        <v>142</v>
      </c>
      <c r="E282" t="s">
        <v>62</v>
      </c>
      <c r="F282" t="s">
        <v>63</v>
      </c>
      <c r="G282" t="s">
        <v>64</v>
      </c>
      <c r="H282" t="s">
        <v>32</v>
      </c>
      <c r="I282" t="s">
        <v>53</v>
      </c>
      <c r="J282">
        <v>7</v>
      </c>
      <c r="K282">
        <v>8500</v>
      </c>
      <c r="L282">
        <v>5</v>
      </c>
      <c r="M282">
        <v>56525</v>
      </c>
      <c r="N282">
        <v>41650</v>
      </c>
      <c r="O282">
        <v>14875</v>
      </c>
      <c r="P282" t="s">
        <v>40</v>
      </c>
      <c r="Q282" t="s">
        <v>26</v>
      </c>
      <c r="R282" t="str">
        <f>TEXT(SalesData[[#This Row],[Order Date]],"mmm")</f>
        <v>Mar</v>
      </c>
      <c r="S282" s="2" t="str">
        <f>"Q"&amp;ROUNDUP(MONTH(SalesData[[#This Row],[Order Date]])/3,0)</f>
        <v>Q1</v>
      </c>
      <c r="T282">
        <f>YEAR(SalesData[[#This Row],[Order Date]])</f>
        <v>2025</v>
      </c>
      <c r="U282">
        <f>SalesData[[#This Row],[Profit]]/SalesData[[#This Row],[Sales]]</f>
        <v>0.26315789473684209</v>
      </c>
    </row>
    <row r="283" spans="1:21" x14ac:dyDescent="0.25">
      <c r="A283" t="s">
        <v>519</v>
      </c>
      <c r="B283" s="1">
        <v>45852</v>
      </c>
      <c r="C283" t="s">
        <v>381</v>
      </c>
      <c r="D283" t="s">
        <v>336</v>
      </c>
      <c r="E283" t="s">
        <v>50</v>
      </c>
      <c r="F283" t="s">
        <v>51</v>
      </c>
      <c r="G283" t="s">
        <v>52</v>
      </c>
      <c r="H283" t="s">
        <v>23</v>
      </c>
      <c r="I283" t="s">
        <v>53</v>
      </c>
      <c r="J283">
        <v>1</v>
      </c>
      <c r="K283">
        <v>3200</v>
      </c>
      <c r="L283">
        <v>0</v>
      </c>
      <c r="M283">
        <v>3200</v>
      </c>
      <c r="N283">
        <v>2240</v>
      </c>
      <c r="O283">
        <v>960</v>
      </c>
      <c r="P283" t="s">
        <v>58</v>
      </c>
      <c r="Q283" t="s">
        <v>76</v>
      </c>
      <c r="R283" t="str">
        <f>TEXT(SalesData[[#This Row],[Order Date]],"mmm")</f>
        <v>Jul</v>
      </c>
      <c r="S283" s="2" t="str">
        <f>"Q"&amp;ROUNDUP(MONTH(SalesData[[#This Row],[Order Date]])/3,0)</f>
        <v>Q3</v>
      </c>
      <c r="T283">
        <f>YEAR(SalesData[[#This Row],[Order Date]])</f>
        <v>2025</v>
      </c>
      <c r="U283">
        <f>SalesData[[#This Row],[Profit]]/SalesData[[#This Row],[Sales]]</f>
        <v>0.3</v>
      </c>
    </row>
    <row r="284" spans="1:21" x14ac:dyDescent="0.25">
      <c r="A284" t="s">
        <v>520</v>
      </c>
      <c r="B284" s="1">
        <v>45807</v>
      </c>
      <c r="C284" t="s">
        <v>219</v>
      </c>
      <c r="D284" t="s">
        <v>262</v>
      </c>
      <c r="E284" t="s">
        <v>50</v>
      </c>
      <c r="F284" t="s">
        <v>51</v>
      </c>
      <c r="G284" t="s">
        <v>52</v>
      </c>
      <c r="H284" t="s">
        <v>46</v>
      </c>
      <c r="I284" t="s">
        <v>66</v>
      </c>
      <c r="J284">
        <v>10</v>
      </c>
      <c r="K284">
        <v>3200</v>
      </c>
      <c r="L284">
        <v>10</v>
      </c>
      <c r="M284">
        <v>28800</v>
      </c>
      <c r="N284">
        <v>22400</v>
      </c>
      <c r="O284">
        <v>6400</v>
      </c>
      <c r="P284" t="s">
        <v>54</v>
      </c>
      <c r="Q284" t="s">
        <v>76</v>
      </c>
      <c r="R284" t="str">
        <f>TEXT(SalesData[[#This Row],[Order Date]],"mmm")</f>
        <v>May</v>
      </c>
      <c r="S284" s="2" t="str">
        <f>"Q"&amp;ROUNDUP(MONTH(SalesData[[#This Row],[Order Date]])/3,0)</f>
        <v>Q2</v>
      </c>
      <c r="T284">
        <f>YEAR(SalesData[[#This Row],[Order Date]])</f>
        <v>2025</v>
      </c>
      <c r="U284">
        <f>SalesData[[#This Row],[Profit]]/SalesData[[#This Row],[Sales]]</f>
        <v>0.22222222222222221</v>
      </c>
    </row>
    <row r="285" spans="1:21" x14ac:dyDescent="0.25">
      <c r="A285" t="s">
        <v>521</v>
      </c>
      <c r="B285" s="1">
        <v>45734</v>
      </c>
      <c r="C285" t="s">
        <v>261</v>
      </c>
      <c r="D285" t="s">
        <v>253</v>
      </c>
      <c r="E285" t="s">
        <v>44</v>
      </c>
      <c r="F285" t="s">
        <v>45</v>
      </c>
      <c r="G285" t="s">
        <v>22</v>
      </c>
      <c r="H285" t="s">
        <v>23</v>
      </c>
      <c r="I285" t="s">
        <v>72</v>
      </c>
      <c r="J285">
        <v>2</v>
      </c>
      <c r="K285">
        <v>9500</v>
      </c>
      <c r="L285">
        <v>5</v>
      </c>
      <c r="M285">
        <v>18050</v>
      </c>
      <c r="N285">
        <v>13300</v>
      </c>
      <c r="O285">
        <v>4750</v>
      </c>
      <c r="P285" t="s">
        <v>25</v>
      </c>
      <c r="Q285" t="s">
        <v>33</v>
      </c>
      <c r="R285" t="str">
        <f>TEXT(SalesData[[#This Row],[Order Date]],"mmm")</f>
        <v>Mar</v>
      </c>
      <c r="S285" s="2" t="str">
        <f>"Q"&amp;ROUNDUP(MONTH(SalesData[[#This Row],[Order Date]])/3,0)</f>
        <v>Q1</v>
      </c>
      <c r="T285">
        <f>YEAR(SalesData[[#This Row],[Order Date]])</f>
        <v>2025</v>
      </c>
      <c r="U285">
        <f>SalesData[[#This Row],[Profit]]/SalesData[[#This Row],[Sales]]</f>
        <v>0.26315789473684209</v>
      </c>
    </row>
    <row r="286" spans="1:21" x14ac:dyDescent="0.25">
      <c r="A286" t="s">
        <v>522</v>
      </c>
      <c r="B286" s="1">
        <v>45746</v>
      </c>
      <c r="C286" t="s">
        <v>198</v>
      </c>
      <c r="D286" t="s">
        <v>408</v>
      </c>
      <c r="E286" t="s">
        <v>37</v>
      </c>
      <c r="F286" t="s">
        <v>38</v>
      </c>
      <c r="G286" t="s">
        <v>22</v>
      </c>
      <c r="H286" t="s">
        <v>32</v>
      </c>
      <c r="I286" t="s">
        <v>53</v>
      </c>
      <c r="J286">
        <v>2</v>
      </c>
      <c r="K286">
        <v>55000</v>
      </c>
      <c r="L286">
        <v>20</v>
      </c>
      <c r="M286">
        <v>88000</v>
      </c>
      <c r="N286">
        <v>77000</v>
      </c>
      <c r="O286">
        <v>11000</v>
      </c>
      <c r="P286" t="s">
        <v>25</v>
      </c>
      <c r="Q286" t="s">
        <v>33</v>
      </c>
      <c r="R286" t="str">
        <f>TEXT(SalesData[[#This Row],[Order Date]],"mmm")</f>
        <v>Mar</v>
      </c>
      <c r="S286" s="2" t="str">
        <f>"Q"&amp;ROUNDUP(MONTH(SalesData[[#This Row],[Order Date]])/3,0)</f>
        <v>Q1</v>
      </c>
      <c r="T286">
        <f>YEAR(SalesData[[#This Row],[Order Date]])</f>
        <v>2025</v>
      </c>
      <c r="U286">
        <f>SalesData[[#This Row],[Profit]]/SalesData[[#This Row],[Sales]]</f>
        <v>0.125</v>
      </c>
    </row>
    <row r="287" spans="1:21" x14ac:dyDescent="0.25">
      <c r="A287" t="s">
        <v>523</v>
      </c>
      <c r="B287" s="1">
        <v>45805</v>
      </c>
      <c r="C287" t="s">
        <v>277</v>
      </c>
      <c r="D287" t="s">
        <v>258</v>
      </c>
      <c r="E287" t="s">
        <v>50</v>
      </c>
      <c r="F287" t="s">
        <v>51</v>
      </c>
      <c r="G287" t="s">
        <v>52</v>
      </c>
      <c r="H287" t="s">
        <v>23</v>
      </c>
      <c r="I287" t="s">
        <v>24</v>
      </c>
      <c r="J287">
        <v>3</v>
      </c>
      <c r="K287">
        <v>3200</v>
      </c>
      <c r="L287">
        <v>5</v>
      </c>
      <c r="M287">
        <v>9120</v>
      </c>
      <c r="N287">
        <v>6720</v>
      </c>
      <c r="O287">
        <v>2400</v>
      </c>
      <c r="P287" t="s">
        <v>54</v>
      </c>
      <c r="Q287" t="s">
        <v>33</v>
      </c>
      <c r="R287" t="str">
        <f>TEXT(SalesData[[#This Row],[Order Date]],"mmm")</f>
        <v>May</v>
      </c>
      <c r="S287" s="2" t="str">
        <f>"Q"&amp;ROUNDUP(MONTH(SalesData[[#This Row],[Order Date]])/3,0)</f>
        <v>Q2</v>
      </c>
      <c r="T287">
        <f>YEAR(SalesData[[#This Row],[Order Date]])</f>
        <v>2025</v>
      </c>
      <c r="U287">
        <f>SalesData[[#This Row],[Profit]]/SalesData[[#This Row],[Sales]]</f>
        <v>0.26315789473684209</v>
      </c>
    </row>
    <row r="288" spans="1:21" x14ac:dyDescent="0.25">
      <c r="A288" t="s">
        <v>524</v>
      </c>
      <c r="B288" s="1">
        <v>45787</v>
      </c>
      <c r="C288" t="s">
        <v>138</v>
      </c>
      <c r="D288" t="s">
        <v>253</v>
      </c>
      <c r="E288" t="s">
        <v>62</v>
      </c>
      <c r="F288" t="s">
        <v>63</v>
      </c>
      <c r="G288" t="s">
        <v>64</v>
      </c>
      <c r="H288" t="s">
        <v>32</v>
      </c>
      <c r="I288" t="s">
        <v>53</v>
      </c>
      <c r="J288">
        <v>4</v>
      </c>
      <c r="K288">
        <v>8500</v>
      </c>
      <c r="L288">
        <v>5</v>
      </c>
      <c r="M288">
        <v>32300</v>
      </c>
      <c r="N288">
        <v>23800</v>
      </c>
      <c r="O288">
        <v>8500</v>
      </c>
      <c r="P288" t="s">
        <v>25</v>
      </c>
      <c r="Q288" t="s">
        <v>76</v>
      </c>
      <c r="R288" t="str">
        <f>TEXT(SalesData[[#This Row],[Order Date]],"mmm")</f>
        <v>May</v>
      </c>
      <c r="S288" s="2" t="str">
        <f>"Q"&amp;ROUNDUP(MONTH(SalesData[[#This Row],[Order Date]])/3,0)</f>
        <v>Q2</v>
      </c>
      <c r="T288">
        <f>YEAR(SalesData[[#This Row],[Order Date]])</f>
        <v>2025</v>
      </c>
      <c r="U288">
        <f>SalesData[[#This Row],[Profit]]/SalesData[[#This Row],[Sales]]</f>
        <v>0.26315789473684209</v>
      </c>
    </row>
    <row r="289" spans="1:21" x14ac:dyDescent="0.25">
      <c r="A289" t="s">
        <v>525</v>
      </c>
      <c r="B289" s="1">
        <v>46011</v>
      </c>
      <c r="C289" t="s">
        <v>141</v>
      </c>
      <c r="D289" t="s">
        <v>108</v>
      </c>
      <c r="E289" t="s">
        <v>93</v>
      </c>
      <c r="F289" t="s">
        <v>94</v>
      </c>
      <c r="G289" t="s">
        <v>64</v>
      </c>
      <c r="H289" t="s">
        <v>65</v>
      </c>
      <c r="I289" t="s">
        <v>72</v>
      </c>
      <c r="J289">
        <v>4</v>
      </c>
      <c r="K289">
        <v>4500</v>
      </c>
      <c r="L289">
        <v>15</v>
      </c>
      <c r="M289">
        <v>15300</v>
      </c>
      <c r="N289">
        <v>12600</v>
      </c>
      <c r="O289">
        <v>2700</v>
      </c>
      <c r="P289" t="s">
        <v>40</v>
      </c>
      <c r="Q289" t="s">
        <v>33</v>
      </c>
      <c r="R289" t="str">
        <f>TEXT(SalesData[[#This Row],[Order Date]],"mmm")</f>
        <v>Dec</v>
      </c>
      <c r="S289" s="2" t="str">
        <f>"Q"&amp;ROUNDUP(MONTH(SalesData[[#This Row],[Order Date]])/3,0)</f>
        <v>Q4</v>
      </c>
      <c r="T289">
        <f>YEAR(SalesData[[#This Row],[Order Date]])</f>
        <v>2025</v>
      </c>
      <c r="U289">
        <f>SalesData[[#This Row],[Profit]]/SalesData[[#This Row],[Sales]]</f>
        <v>0.17647058823529413</v>
      </c>
    </row>
    <row r="290" spans="1:21" x14ac:dyDescent="0.25">
      <c r="A290" t="s">
        <v>526</v>
      </c>
      <c r="B290" s="1">
        <v>45703</v>
      </c>
      <c r="C290" t="s">
        <v>302</v>
      </c>
      <c r="D290" t="s">
        <v>57</v>
      </c>
      <c r="E290" t="s">
        <v>37</v>
      </c>
      <c r="F290" t="s">
        <v>38</v>
      </c>
      <c r="G290" t="s">
        <v>22</v>
      </c>
      <c r="H290" t="s">
        <v>23</v>
      </c>
      <c r="I290" t="s">
        <v>39</v>
      </c>
      <c r="J290">
        <v>1</v>
      </c>
      <c r="K290">
        <v>55000</v>
      </c>
      <c r="L290">
        <v>5</v>
      </c>
      <c r="M290">
        <v>52250</v>
      </c>
      <c r="N290">
        <v>38500</v>
      </c>
      <c r="O290">
        <v>13750</v>
      </c>
      <c r="P290" t="s">
        <v>58</v>
      </c>
      <c r="Q290" t="s">
        <v>76</v>
      </c>
      <c r="R290" t="str">
        <f>TEXT(SalesData[[#This Row],[Order Date]],"mmm")</f>
        <v>Feb</v>
      </c>
      <c r="S290" s="2" t="str">
        <f>"Q"&amp;ROUNDUP(MONTH(SalesData[[#This Row],[Order Date]])/3,0)</f>
        <v>Q1</v>
      </c>
      <c r="T290">
        <f>YEAR(SalesData[[#This Row],[Order Date]])</f>
        <v>2025</v>
      </c>
      <c r="U290">
        <f>SalesData[[#This Row],[Profit]]/SalesData[[#This Row],[Sales]]</f>
        <v>0.26315789473684209</v>
      </c>
    </row>
    <row r="291" spans="1:21" x14ac:dyDescent="0.25">
      <c r="A291" t="s">
        <v>527</v>
      </c>
      <c r="B291" s="1">
        <v>45750</v>
      </c>
      <c r="C291" t="s">
        <v>252</v>
      </c>
      <c r="D291" t="s">
        <v>394</v>
      </c>
      <c r="E291" t="s">
        <v>93</v>
      </c>
      <c r="F291" t="s">
        <v>94</v>
      </c>
      <c r="G291" t="s">
        <v>64</v>
      </c>
      <c r="H291" t="s">
        <v>32</v>
      </c>
      <c r="I291" t="s">
        <v>24</v>
      </c>
      <c r="J291">
        <v>9</v>
      </c>
      <c r="K291">
        <v>4500</v>
      </c>
      <c r="L291">
        <v>15</v>
      </c>
      <c r="M291">
        <v>34425</v>
      </c>
      <c r="N291">
        <v>28350</v>
      </c>
      <c r="O291">
        <v>6075</v>
      </c>
      <c r="P291" t="s">
        <v>54</v>
      </c>
      <c r="Q291" t="s">
        <v>26</v>
      </c>
      <c r="R291" t="str">
        <f>TEXT(SalesData[[#This Row],[Order Date]],"mmm")</f>
        <v>Apr</v>
      </c>
      <c r="S291" s="2" t="str">
        <f>"Q"&amp;ROUNDUP(MONTH(SalesData[[#This Row],[Order Date]])/3,0)</f>
        <v>Q2</v>
      </c>
      <c r="T291">
        <f>YEAR(SalesData[[#This Row],[Order Date]])</f>
        <v>2025</v>
      </c>
      <c r="U291">
        <f>SalesData[[#This Row],[Profit]]/SalesData[[#This Row],[Sales]]</f>
        <v>0.17647058823529413</v>
      </c>
    </row>
    <row r="292" spans="1:21" x14ac:dyDescent="0.25">
      <c r="A292" t="s">
        <v>528</v>
      </c>
      <c r="B292" s="1">
        <v>45662</v>
      </c>
      <c r="C292" t="s">
        <v>141</v>
      </c>
      <c r="D292" t="s">
        <v>139</v>
      </c>
      <c r="E292" t="s">
        <v>30</v>
      </c>
      <c r="F292" t="s">
        <v>31</v>
      </c>
      <c r="G292" t="s">
        <v>22</v>
      </c>
      <c r="H292" t="s">
        <v>23</v>
      </c>
      <c r="I292" t="s">
        <v>72</v>
      </c>
      <c r="J292">
        <v>10</v>
      </c>
      <c r="K292">
        <v>800</v>
      </c>
      <c r="L292">
        <v>15</v>
      </c>
      <c r="M292">
        <v>6800</v>
      </c>
      <c r="N292">
        <v>5600</v>
      </c>
      <c r="O292">
        <v>1200</v>
      </c>
      <c r="P292" t="s">
        <v>40</v>
      </c>
      <c r="Q292" t="s">
        <v>26</v>
      </c>
      <c r="R292" t="str">
        <f>TEXT(SalesData[[#This Row],[Order Date]],"mmm")</f>
        <v>Jan</v>
      </c>
      <c r="S292" s="2" t="str">
        <f>"Q"&amp;ROUNDUP(MONTH(SalesData[[#This Row],[Order Date]])/3,0)</f>
        <v>Q1</v>
      </c>
      <c r="T292">
        <f>YEAR(SalesData[[#This Row],[Order Date]])</f>
        <v>2025</v>
      </c>
      <c r="U292">
        <f>SalesData[[#This Row],[Profit]]/SalesData[[#This Row],[Sales]]</f>
        <v>0.17647058823529413</v>
      </c>
    </row>
    <row r="293" spans="1:21" x14ac:dyDescent="0.25">
      <c r="A293" t="s">
        <v>529</v>
      </c>
      <c r="B293" s="1">
        <v>45895</v>
      </c>
      <c r="C293" t="s">
        <v>495</v>
      </c>
      <c r="D293" t="s">
        <v>530</v>
      </c>
      <c r="E293" t="s">
        <v>50</v>
      </c>
      <c r="F293" t="s">
        <v>51</v>
      </c>
      <c r="G293" t="s">
        <v>52</v>
      </c>
      <c r="H293" t="s">
        <v>46</v>
      </c>
      <c r="I293" t="s">
        <v>80</v>
      </c>
      <c r="J293">
        <v>10</v>
      </c>
      <c r="K293">
        <v>3200</v>
      </c>
      <c r="L293">
        <v>20</v>
      </c>
      <c r="M293">
        <v>25600</v>
      </c>
      <c r="N293">
        <v>22400</v>
      </c>
      <c r="O293">
        <v>3200</v>
      </c>
      <c r="P293" t="s">
        <v>58</v>
      </c>
      <c r="Q293" t="s">
        <v>33</v>
      </c>
      <c r="R293" t="str">
        <f>TEXT(SalesData[[#This Row],[Order Date]],"mmm")</f>
        <v>Aug</v>
      </c>
      <c r="S293" s="2" t="str">
        <f>"Q"&amp;ROUNDUP(MONTH(SalesData[[#This Row],[Order Date]])/3,0)</f>
        <v>Q3</v>
      </c>
      <c r="T293">
        <f>YEAR(SalesData[[#This Row],[Order Date]])</f>
        <v>2025</v>
      </c>
      <c r="U293">
        <f>SalesData[[#This Row],[Profit]]/SalesData[[#This Row],[Sales]]</f>
        <v>0.125</v>
      </c>
    </row>
    <row r="294" spans="1:21" x14ac:dyDescent="0.25">
      <c r="A294" t="s">
        <v>531</v>
      </c>
      <c r="B294" s="1">
        <v>45826</v>
      </c>
      <c r="C294" t="s">
        <v>302</v>
      </c>
      <c r="D294" t="s">
        <v>389</v>
      </c>
      <c r="E294" t="s">
        <v>20</v>
      </c>
      <c r="F294" t="s">
        <v>21</v>
      </c>
      <c r="G294" t="s">
        <v>22</v>
      </c>
      <c r="H294" t="s">
        <v>65</v>
      </c>
      <c r="I294" t="s">
        <v>66</v>
      </c>
      <c r="J294">
        <v>4</v>
      </c>
      <c r="K294">
        <v>3500</v>
      </c>
      <c r="L294">
        <v>15</v>
      </c>
      <c r="M294">
        <v>11900</v>
      </c>
      <c r="N294">
        <v>9800</v>
      </c>
      <c r="O294">
        <v>2100</v>
      </c>
      <c r="P294" t="s">
        <v>58</v>
      </c>
      <c r="Q294" t="s">
        <v>26</v>
      </c>
      <c r="R294" t="str">
        <f>TEXT(SalesData[[#This Row],[Order Date]],"mmm")</f>
        <v>Jun</v>
      </c>
      <c r="S294" s="2" t="str">
        <f>"Q"&amp;ROUNDUP(MONTH(SalesData[[#This Row],[Order Date]])/3,0)</f>
        <v>Q2</v>
      </c>
      <c r="T294">
        <f>YEAR(SalesData[[#This Row],[Order Date]])</f>
        <v>2025</v>
      </c>
      <c r="U294">
        <f>SalesData[[#This Row],[Profit]]/SalesData[[#This Row],[Sales]]</f>
        <v>0.17647058823529413</v>
      </c>
    </row>
    <row r="295" spans="1:21" x14ac:dyDescent="0.25">
      <c r="A295" t="s">
        <v>532</v>
      </c>
      <c r="B295" s="1">
        <v>45719</v>
      </c>
      <c r="C295" t="s">
        <v>277</v>
      </c>
      <c r="D295" t="s">
        <v>29</v>
      </c>
      <c r="E295" t="s">
        <v>30</v>
      </c>
      <c r="F295" t="s">
        <v>31</v>
      </c>
      <c r="G295" t="s">
        <v>22</v>
      </c>
      <c r="H295" t="s">
        <v>65</v>
      </c>
      <c r="I295" t="s">
        <v>39</v>
      </c>
      <c r="J295">
        <v>2</v>
      </c>
      <c r="K295">
        <v>800</v>
      </c>
      <c r="L295">
        <v>5</v>
      </c>
      <c r="M295">
        <v>1520</v>
      </c>
      <c r="N295">
        <v>1120</v>
      </c>
      <c r="O295">
        <v>400</v>
      </c>
      <c r="P295" t="s">
        <v>25</v>
      </c>
      <c r="Q295" t="s">
        <v>26</v>
      </c>
      <c r="R295" t="str">
        <f>TEXT(SalesData[[#This Row],[Order Date]],"mmm")</f>
        <v>Mar</v>
      </c>
      <c r="S295" s="2" t="str">
        <f>"Q"&amp;ROUNDUP(MONTH(SalesData[[#This Row],[Order Date]])/3,0)</f>
        <v>Q1</v>
      </c>
      <c r="T295">
        <f>YEAR(SalesData[[#This Row],[Order Date]])</f>
        <v>2025</v>
      </c>
      <c r="U295">
        <f>SalesData[[#This Row],[Profit]]/SalesData[[#This Row],[Sales]]</f>
        <v>0.26315789473684209</v>
      </c>
    </row>
    <row r="296" spans="1:21" x14ac:dyDescent="0.25">
      <c r="A296" t="s">
        <v>533</v>
      </c>
      <c r="B296" s="1">
        <v>45740</v>
      </c>
      <c r="C296" t="s">
        <v>195</v>
      </c>
      <c r="D296" t="s">
        <v>534</v>
      </c>
      <c r="E296" t="s">
        <v>50</v>
      </c>
      <c r="F296" t="s">
        <v>51</v>
      </c>
      <c r="G296" t="s">
        <v>52</v>
      </c>
      <c r="H296" t="s">
        <v>46</v>
      </c>
      <c r="I296" t="s">
        <v>66</v>
      </c>
      <c r="J296">
        <v>9</v>
      </c>
      <c r="K296">
        <v>3200</v>
      </c>
      <c r="L296">
        <v>5</v>
      </c>
      <c r="M296">
        <v>27360</v>
      </c>
      <c r="N296">
        <v>20160</v>
      </c>
      <c r="O296">
        <v>7200</v>
      </c>
      <c r="P296" t="s">
        <v>54</v>
      </c>
      <c r="Q296" t="s">
        <v>26</v>
      </c>
      <c r="R296" t="str">
        <f>TEXT(SalesData[[#This Row],[Order Date]],"mmm")</f>
        <v>Mar</v>
      </c>
      <c r="S296" s="2" t="str">
        <f>"Q"&amp;ROUNDUP(MONTH(SalesData[[#This Row],[Order Date]])/3,0)</f>
        <v>Q1</v>
      </c>
      <c r="T296">
        <f>YEAR(SalesData[[#This Row],[Order Date]])</f>
        <v>2025</v>
      </c>
      <c r="U296">
        <f>SalesData[[#This Row],[Profit]]/SalesData[[#This Row],[Sales]]</f>
        <v>0.26315789473684209</v>
      </c>
    </row>
    <row r="297" spans="1:21" x14ac:dyDescent="0.25">
      <c r="A297" t="s">
        <v>535</v>
      </c>
      <c r="B297" s="1">
        <v>45847</v>
      </c>
      <c r="C297" t="s">
        <v>277</v>
      </c>
      <c r="D297" t="s">
        <v>108</v>
      </c>
      <c r="E297" t="s">
        <v>62</v>
      </c>
      <c r="F297" t="s">
        <v>63</v>
      </c>
      <c r="G297" t="s">
        <v>64</v>
      </c>
      <c r="H297" t="s">
        <v>46</v>
      </c>
      <c r="I297" t="s">
        <v>80</v>
      </c>
      <c r="J297">
        <v>2</v>
      </c>
      <c r="K297">
        <v>8500</v>
      </c>
      <c r="L297">
        <v>20</v>
      </c>
      <c r="M297">
        <v>13600</v>
      </c>
      <c r="N297">
        <v>11900</v>
      </c>
      <c r="O297">
        <v>1700</v>
      </c>
      <c r="P297" t="s">
        <v>40</v>
      </c>
      <c r="Q297" t="s">
        <v>33</v>
      </c>
      <c r="R297" t="str">
        <f>TEXT(SalesData[[#This Row],[Order Date]],"mmm")</f>
        <v>Jul</v>
      </c>
      <c r="S297" s="2" t="str">
        <f>"Q"&amp;ROUNDUP(MONTH(SalesData[[#This Row],[Order Date]])/3,0)</f>
        <v>Q3</v>
      </c>
      <c r="T297">
        <f>YEAR(SalesData[[#This Row],[Order Date]])</f>
        <v>2025</v>
      </c>
      <c r="U297">
        <f>SalesData[[#This Row],[Profit]]/SalesData[[#This Row],[Sales]]</f>
        <v>0.125</v>
      </c>
    </row>
    <row r="298" spans="1:21" x14ac:dyDescent="0.25">
      <c r="A298" t="s">
        <v>536</v>
      </c>
      <c r="B298" s="1">
        <v>45825</v>
      </c>
      <c r="C298" t="s">
        <v>74</v>
      </c>
      <c r="D298" t="s">
        <v>310</v>
      </c>
      <c r="E298" t="s">
        <v>30</v>
      </c>
      <c r="F298" t="s">
        <v>31</v>
      </c>
      <c r="G298" t="s">
        <v>22</v>
      </c>
      <c r="H298" t="s">
        <v>65</v>
      </c>
      <c r="I298" t="s">
        <v>24</v>
      </c>
      <c r="J298">
        <v>2</v>
      </c>
      <c r="K298">
        <v>800</v>
      </c>
      <c r="L298">
        <v>20</v>
      </c>
      <c r="M298">
        <v>1280</v>
      </c>
      <c r="N298">
        <v>1120</v>
      </c>
      <c r="O298">
        <v>160</v>
      </c>
      <c r="P298" t="s">
        <v>40</v>
      </c>
      <c r="Q298" t="s">
        <v>33</v>
      </c>
      <c r="R298" t="str">
        <f>TEXT(SalesData[[#This Row],[Order Date]],"mmm")</f>
        <v>Jun</v>
      </c>
      <c r="S298" s="2" t="str">
        <f>"Q"&amp;ROUNDUP(MONTH(SalesData[[#This Row],[Order Date]])/3,0)</f>
        <v>Q2</v>
      </c>
      <c r="T298">
        <f>YEAR(SalesData[[#This Row],[Order Date]])</f>
        <v>2025</v>
      </c>
      <c r="U298">
        <f>SalesData[[#This Row],[Profit]]/SalesData[[#This Row],[Sales]]</f>
        <v>0.125</v>
      </c>
    </row>
    <row r="299" spans="1:21" x14ac:dyDescent="0.25">
      <c r="A299" t="s">
        <v>537</v>
      </c>
      <c r="B299" s="1">
        <v>45974</v>
      </c>
      <c r="C299" t="s">
        <v>127</v>
      </c>
      <c r="D299" t="s">
        <v>420</v>
      </c>
      <c r="E299" t="s">
        <v>93</v>
      </c>
      <c r="F299" t="s">
        <v>94</v>
      </c>
      <c r="G299" t="s">
        <v>64</v>
      </c>
      <c r="H299" t="s">
        <v>46</v>
      </c>
      <c r="I299" t="s">
        <v>53</v>
      </c>
      <c r="J299">
        <v>2</v>
      </c>
      <c r="K299">
        <v>4500</v>
      </c>
      <c r="L299">
        <v>10</v>
      </c>
      <c r="M299">
        <v>8100</v>
      </c>
      <c r="N299">
        <v>6300</v>
      </c>
      <c r="O299">
        <v>1800</v>
      </c>
      <c r="P299" t="s">
        <v>58</v>
      </c>
      <c r="Q299" t="s">
        <v>76</v>
      </c>
      <c r="R299" t="str">
        <f>TEXT(SalesData[[#This Row],[Order Date]],"mmm")</f>
        <v>Nov</v>
      </c>
      <c r="S299" s="2" t="str">
        <f>"Q"&amp;ROUNDUP(MONTH(SalesData[[#This Row],[Order Date]])/3,0)</f>
        <v>Q4</v>
      </c>
      <c r="T299">
        <f>YEAR(SalesData[[#This Row],[Order Date]])</f>
        <v>2025</v>
      </c>
      <c r="U299">
        <f>SalesData[[#This Row],[Profit]]/SalesData[[#This Row],[Sales]]</f>
        <v>0.22222222222222221</v>
      </c>
    </row>
    <row r="300" spans="1:21" x14ac:dyDescent="0.25">
      <c r="A300" t="s">
        <v>538</v>
      </c>
      <c r="B300" s="1">
        <v>45664</v>
      </c>
      <c r="C300" t="s">
        <v>539</v>
      </c>
      <c r="D300" t="s">
        <v>171</v>
      </c>
      <c r="E300" t="s">
        <v>20</v>
      </c>
      <c r="F300" t="s">
        <v>21</v>
      </c>
      <c r="G300" t="s">
        <v>22</v>
      </c>
      <c r="H300" t="s">
        <v>46</v>
      </c>
      <c r="I300" t="s">
        <v>39</v>
      </c>
      <c r="J300">
        <v>8</v>
      </c>
      <c r="K300">
        <v>3500</v>
      </c>
      <c r="L300">
        <v>20</v>
      </c>
      <c r="M300">
        <v>22400</v>
      </c>
      <c r="N300">
        <v>19600</v>
      </c>
      <c r="O300">
        <v>2800</v>
      </c>
      <c r="P300" t="s">
        <v>54</v>
      </c>
      <c r="Q300" t="s">
        <v>33</v>
      </c>
      <c r="R300" t="str">
        <f>TEXT(SalesData[[#This Row],[Order Date]],"mmm")</f>
        <v>Jan</v>
      </c>
      <c r="S300" s="2" t="str">
        <f>"Q"&amp;ROUNDUP(MONTH(SalesData[[#This Row],[Order Date]])/3,0)</f>
        <v>Q1</v>
      </c>
      <c r="T300">
        <f>YEAR(SalesData[[#This Row],[Order Date]])</f>
        <v>2025</v>
      </c>
      <c r="U300">
        <f>SalesData[[#This Row],[Profit]]/SalesData[[#This Row],[Sales]]</f>
        <v>0.125</v>
      </c>
    </row>
    <row r="301" spans="1:21" x14ac:dyDescent="0.25">
      <c r="A301" t="s">
        <v>540</v>
      </c>
      <c r="B301" s="1">
        <v>45891</v>
      </c>
      <c r="C301" t="s">
        <v>203</v>
      </c>
      <c r="D301" t="s">
        <v>320</v>
      </c>
      <c r="E301" t="s">
        <v>70</v>
      </c>
      <c r="F301" t="s">
        <v>71</v>
      </c>
      <c r="G301" t="s">
        <v>22</v>
      </c>
      <c r="H301" t="s">
        <v>23</v>
      </c>
      <c r="I301" t="s">
        <v>39</v>
      </c>
      <c r="J301">
        <v>9</v>
      </c>
      <c r="K301">
        <v>1500</v>
      </c>
      <c r="L301">
        <v>20</v>
      </c>
      <c r="M301">
        <v>10800</v>
      </c>
      <c r="N301">
        <v>9450</v>
      </c>
      <c r="O301">
        <v>1350</v>
      </c>
      <c r="P301" t="s">
        <v>54</v>
      </c>
      <c r="Q301" t="s">
        <v>76</v>
      </c>
      <c r="R301" t="str">
        <f>TEXT(SalesData[[#This Row],[Order Date]],"mmm")</f>
        <v>Aug</v>
      </c>
      <c r="S301" s="2" t="str">
        <f>"Q"&amp;ROUNDUP(MONTH(SalesData[[#This Row],[Order Date]])/3,0)</f>
        <v>Q3</v>
      </c>
      <c r="T301">
        <f>YEAR(SalesData[[#This Row],[Order Date]])</f>
        <v>2025</v>
      </c>
      <c r="U301">
        <f>SalesData[[#This Row],[Profit]]/SalesData[[#This Row],[Sales]]</f>
        <v>0.125</v>
      </c>
    </row>
    <row r="302" spans="1:21" x14ac:dyDescent="0.25">
      <c r="A302" t="s">
        <v>541</v>
      </c>
      <c r="B302" s="1">
        <v>45976</v>
      </c>
      <c r="C302" t="s">
        <v>35</v>
      </c>
      <c r="D302" t="s">
        <v>224</v>
      </c>
      <c r="E302" t="s">
        <v>62</v>
      </c>
      <c r="F302" t="s">
        <v>63</v>
      </c>
      <c r="G302" t="s">
        <v>64</v>
      </c>
      <c r="H302" t="s">
        <v>46</v>
      </c>
      <c r="I302" t="s">
        <v>39</v>
      </c>
      <c r="J302">
        <v>3</v>
      </c>
      <c r="K302">
        <v>8500</v>
      </c>
      <c r="L302">
        <v>20</v>
      </c>
      <c r="M302">
        <v>20400</v>
      </c>
      <c r="N302">
        <v>17850</v>
      </c>
      <c r="O302">
        <v>2550</v>
      </c>
      <c r="P302" t="s">
        <v>40</v>
      </c>
      <c r="Q302" t="s">
        <v>33</v>
      </c>
      <c r="R302" t="str">
        <f>TEXT(SalesData[[#This Row],[Order Date]],"mmm")</f>
        <v>Nov</v>
      </c>
      <c r="S302" s="2" t="str">
        <f>"Q"&amp;ROUNDUP(MONTH(SalesData[[#This Row],[Order Date]])/3,0)</f>
        <v>Q4</v>
      </c>
      <c r="T302">
        <f>YEAR(SalesData[[#This Row],[Order Date]])</f>
        <v>2025</v>
      </c>
      <c r="U302">
        <f>SalesData[[#This Row],[Profit]]/SalesData[[#This Row],[Sales]]</f>
        <v>0.125</v>
      </c>
    </row>
    <row r="303" spans="1:21" x14ac:dyDescent="0.25">
      <c r="A303" t="s">
        <v>542</v>
      </c>
      <c r="B303" s="1">
        <v>45801</v>
      </c>
      <c r="C303" t="s">
        <v>457</v>
      </c>
      <c r="D303" t="s">
        <v>171</v>
      </c>
      <c r="E303" t="s">
        <v>50</v>
      </c>
      <c r="F303" t="s">
        <v>51</v>
      </c>
      <c r="G303" t="s">
        <v>52</v>
      </c>
      <c r="H303" t="s">
        <v>65</v>
      </c>
      <c r="I303" t="s">
        <v>24</v>
      </c>
      <c r="J303">
        <v>5</v>
      </c>
      <c r="K303">
        <v>3200</v>
      </c>
      <c r="L303">
        <v>0</v>
      </c>
      <c r="M303">
        <v>16000</v>
      </c>
      <c r="N303">
        <v>11200</v>
      </c>
      <c r="O303">
        <v>4800</v>
      </c>
      <c r="P303" t="s">
        <v>25</v>
      </c>
      <c r="Q303" t="s">
        <v>26</v>
      </c>
      <c r="R303" t="str">
        <f>TEXT(SalesData[[#This Row],[Order Date]],"mmm")</f>
        <v>May</v>
      </c>
      <c r="S303" s="2" t="str">
        <f>"Q"&amp;ROUNDUP(MONTH(SalesData[[#This Row],[Order Date]])/3,0)</f>
        <v>Q2</v>
      </c>
      <c r="T303">
        <f>YEAR(SalesData[[#This Row],[Order Date]])</f>
        <v>2025</v>
      </c>
      <c r="U303">
        <f>SalesData[[#This Row],[Profit]]/SalesData[[#This Row],[Sales]]</f>
        <v>0.3</v>
      </c>
    </row>
    <row r="304" spans="1:21" x14ac:dyDescent="0.25">
      <c r="A304" t="s">
        <v>543</v>
      </c>
      <c r="B304" s="1">
        <v>45717</v>
      </c>
      <c r="C304" t="s">
        <v>150</v>
      </c>
      <c r="D304" t="s">
        <v>75</v>
      </c>
      <c r="E304" t="s">
        <v>37</v>
      </c>
      <c r="F304" t="s">
        <v>38</v>
      </c>
      <c r="G304" t="s">
        <v>22</v>
      </c>
      <c r="H304" t="s">
        <v>46</v>
      </c>
      <c r="I304" t="s">
        <v>80</v>
      </c>
      <c r="J304">
        <v>1</v>
      </c>
      <c r="K304">
        <v>55000</v>
      </c>
      <c r="L304">
        <v>10</v>
      </c>
      <c r="M304">
        <v>49500</v>
      </c>
      <c r="N304">
        <v>38500</v>
      </c>
      <c r="O304">
        <v>11000</v>
      </c>
      <c r="P304" t="s">
        <v>54</v>
      </c>
      <c r="Q304" t="s">
        <v>76</v>
      </c>
      <c r="R304" t="str">
        <f>TEXT(SalesData[[#This Row],[Order Date]],"mmm")</f>
        <v>Mar</v>
      </c>
      <c r="S304" s="2" t="str">
        <f>"Q"&amp;ROUNDUP(MONTH(SalesData[[#This Row],[Order Date]])/3,0)</f>
        <v>Q1</v>
      </c>
      <c r="T304">
        <f>YEAR(SalesData[[#This Row],[Order Date]])</f>
        <v>2025</v>
      </c>
      <c r="U304">
        <f>SalesData[[#This Row],[Profit]]/SalesData[[#This Row],[Sales]]</f>
        <v>0.22222222222222221</v>
      </c>
    </row>
    <row r="305" spans="1:21" x14ac:dyDescent="0.25">
      <c r="A305" t="s">
        <v>544</v>
      </c>
      <c r="B305" s="1">
        <v>45674</v>
      </c>
      <c r="C305" t="s">
        <v>18</v>
      </c>
      <c r="D305" t="s">
        <v>188</v>
      </c>
      <c r="E305" t="s">
        <v>44</v>
      </c>
      <c r="F305" t="s">
        <v>45</v>
      </c>
      <c r="G305" t="s">
        <v>22</v>
      </c>
      <c r="H305" t="s">
        <v>46</v>
      </c>
      <c r="I305" t="s">
        <v>24</v>
      </c>
      <c r="J305">
        <v>9</v>
      </c>
      <c r="K305">
        <v>9500</v>
      </c>
      <c r="L305">
        <v>15</v>
      </c>
      <c r="M305">
        <v>72675</v>
      </c>
      <c r="N305">
        <v>59849.999999999993</v>
      </c>
      <c r="O305">
        <v>12825.000000000009</v>
      </c>
      <c r="P305" t="s">
        <v>58</v>
      </c>
      <c r="Q305" t="s">
        <v>26</v>
      </c>
      <c r="R305" t="str">
        <f>TEXT(SalesData[[#This Row],[Order Date]],"mmm")</f>
        <v>Jan</v>
      </c>
      <c r="S305" s="2" t="str">
        <f>"Q"&amp;ROUNDUP(MONTH(SalesData[[#This Row],[Order Date]])/3,0)</f>
        <v>Q1</v>
      </c>
      <c r="T305">
        <f>YEAR(SalesData[[#This Row],[Order Date]])</f>
        <v>2025</v>
      </c>
      <c r="U305">
        <f>SalesData[[#This Row],[Profit]]/SalesData[[#This Row],[Sales]]</f>
        <v>0.17647058823529424</v>
      </c>
    </row>
    <row r="306" spans="1:21" x14ac:dyDescent="0.25">
      <c r="A306" t="s">
        <v>545</v>
      </c>
      <c r="B306" s="1">
        <v>45961</v>
      </c>
      <c r="C306" t="s">
        <v>157</v>
      </c>
      <c r="D306" t="s">
        <v>224</v>
      </c>
      <c r="E306" t="s">
        <v>37</v>
      </c>
      <c r="F306" t="s">
        <v>38</v>
      </c>
      <c r="G306" t="s">
        <v>22</v>
      </c>
      <c r="H306" t="s">
        <v>32</v>
      </c>
      <c r="I306" t="s">
        <v>66</v>
      </c>
      <c r="J306">
        <v>9</v>
      </c>
      <c r="K306">
        <v>55000</v>
      </c>
      <c r="L306">
        <v>20</v>
      </c>
      <c r="M306">
        <v>396000</v>
      </c>
      <c r="N306">
        <v>346500</v>
      </c>
      <c r="O306">
        <v>49500</v>
      </c>
      <c r="P306" t="s">
        <v>54</v>
      </c>
      <c r="Q306" t="s">
        <v>76</v>
      </c>
      <c r="R306" t="str">
        <f>TEXT(SalesData[[#This Row],[Order Date]],"mmm")</f>
        <v>Oct</v>
      </c>
      <c r="S306" s="2" t="str">
        <f>"Q"&amp;ROUNDUP(MONTH(SalesData[[#This Row],[Order Date]])/3,0)</f>
        <v>Q4</v>
      </c>
      <c r="T306">
        <f>YEAR(SalesData[[#This Row],[Order Date]])</f>
        <v>2025</v>
      </c>
      <c r="U306">
        <f>SalesData[[#This Row],[Profit]]/SalesData[[#This Row],[Sales]]</f>
        <v>0.125</v>
      </c>
    </row>
    <row r="307" spans="1:21" x14ac:dyDescent="0.25">
      <c r="A307" t="s">
        <v>546</v>
      </c>
      <c r="B307" s="1">
        <v>45752</v>
      </c>
      <c r="C307" t="s">
        <v>203</v>
      </c>
      <c r="D307" t="s">
        <v>116</v>
      </c>
      <c r="E307" t="s">
        <v>62</v>
      </c>
      <c r="F307" t="s">
        <v>63</v>
      </c>
      <c r="G307" t="s">
        <v>64</v>
      </c>
      <c r="H307" t="s">
        <v>32</v>
      </c>
      <c r="I307" t="s">
        <v>80</v>
      </c>
      <c r="J307">
        <v>5</v>
      </c>
      <c r="K307">
        <v>8500</v>
      </c>
      <c r="L307">
        <v>5</v>
      </c>
      <c r="M307">
        <v>40375</v>
      </c>
      <c r="N307">
        <v>29750</v>
      </c>
      <c r="O307">
        <v>10625</v>
      </c>
      <c r="P307" t="s">
        <v>54</v>
      </c>
      <c r="Q307" t="s">
        <v>26</v>
      </c>
      <c r="R307" t="str">
        <f>TEXT(SalesData[[#This Row],[Order Date]],"mmm")</f>
        <v>Apr</v>
      </c>
      <c r="S307" s="2" t="str">
        <f>"Q"&amp;ROUNDUP(MONTH(SalesData[[#This Row],[Order Date]])/3,0)</f>
        <v>Q2</v>
      </c>
      <c r="T307">
        <f>YEAR(SalesData[[#This Row],[Order Date]])</f>
        <v>2025</v>
      </c>
      <c r="U307">
        <f>SalesData[[#This Row],[Profit]]/SalesData[[#This Row],[Sales]]</f>
        <v>0.26315789473684209</v>
      </c>
    </row>
    <row r="308" spans="1:21" x14ac:dyDescent="0.25">
      <c r="A308" t="s">
        <v>547</v>
      </c>
      <c r="B308" s="1">
        <v>45762</v>
      </c>
      <c r="C308" t="s">
        <v>157</v>
      </c>
      <c r="D308" t="s">
        <v>97</v>
      </c>
      <c r="E308" t="s">
        <v>50</v>
      </c>
      <c r="F308" t="s">
        <v>51</v>
      </c>
      <c r="G308" t="s">
        <v>52</v>
      </c>
      <c r="H308" t="s">
        <v>23</v>
      </c>
      <c r="I308" t="s">
        <v>66</v>
      </c>
      <c r="J308">
        <v>6</v>
      </c>
      <c r="K308">
        <v>3200</v>
      </c>
      <c r="L308">
        <v>20</v>
      </c>
      <c r="M308">
        <v>15360</v>
      </c>
      <c r="N308">
        <v>13440</v>
      </c>
      <c r="O308">
        <v>1920</v>
      </c>
      <c r="P308" t="s">
        <v>58</v>
      </c>
      <c r="Q308" t="s">
        <v>33</v>
      </c>
      <c r="R308" t="str">
        <f>TEXT(SalesData[[#This Row],[Order Date]],"mmm")</f>
        <v>Apr</v>
      </c>
      <c r="S308" s="2" t="str">
        <f>"Q"&amp;ROUNDUP(MONTH(SalesData[[#This Row],[Order Date]])/3,0)</f>
        <v>Q2</v>
      </c>
      <c r="T308">
        <f>YEAR(SalesData[[#This Row],[Order Date]])</f>
        <v>2025</v>
      </c>
      <c r="U308">
        <f>SalesData[[#This Row],[Profit]]/SalesData[[#This Row],[Sales]]</f>
        <v>0.125</v>
      </c>
    </row>
    <row r="309" spans="1:21" x14ac:dyDescent="0.25">
      <c r="A309" t="s">
        <v>548</v>
      </c>
      <c r="B309" s="1">
        <v>45820</v>
      </c>
      <c r="C309" t="s">
        <v>495</v>
      </c>
      <c r="D309" t="s">
        <v>201</v>
      </c>
      <c r="E309" t="s">
        <v>44</v>
      </c>
      <c r="F309" t="s">
        <v>45</v>
      </c>
      <c r="G309" t="s">
        <v>22</v>
      </c>
      <c r="H309" t="s">
        <v>32</v>
      </c>
      <c r="I309" t="s">
        <v>66</v>
      </c>
      <c r="J309">
        <v>6</v>
      </c>
      <c r="K309">
        <v>9500</v>
      </c>
      <c r="L309">
        <v>20</v>
      </c>
      <c r="M309">
        <v>45600</v>
      </c>
      <c r="N309">
        <v>39900</v>
      </c>
      <c r="O309">
        <v>5700</v>
      </c>
      <c r="P309" t="s">
        <v>54</v>
      </c>
      <c r="Q309" t="s">
        <v>26</v>
      </c>
      <c r="R309" t="str">
        <f>TEXT(SalesData[[#This Row],[Order Date]],"mmm")</f>
        <v>Jun</v>
      </c>
      <c r="S309" s="2" t="str">
        <f>"Q"&amp;ROUNDUP(MONTH(SalesData[[#This Row],[Order Date]])/3,0)</f>
        <v>Q2</v>
      </c>
      <c r="T309">
        <f>YEAR(SalesData[[#This Row],[Order Date]])</f>
        <v>2025</v>
      </c>
      <c r="U309">
        <f>SalesData[[#This Row],[Profit]]/SalesData[[#This Row],[Sales]]</f>
        <v>0.125</v>
      </c>
    </row>
    <row r="310" spans="1:21" x14ac:dyDescent="0.25">
      <c r="A310" t="s">
        <v>549</v>
      </c>
      <c r="B310" s="1">
        <v>46017</v>
      </c>
      <c r="C310" t="s">
        <v>242</v>
      </c>
      <c r="D310" t="s">
        <v>256</v>
      </c>
      <c r="E310" t="s">
        <v>50</v>
      </c>
      <c r="F310" t="s">
        <v>51</v>
      </c>
      <c r="G310" t="s">
        <v>52</v>
      </c>
      <c r="H310" t="s">
        <v>23</v>
      </c>
      <c r="I310" t="s">
        <v>80</v>
      </c>
      <c r="J310">
        <v>2</v>
      </c>
      <c r="K310">
        <v>3200</v>
      </c>
      <c r="L310">
        <v>15</v>
      </c>
      <c r="M310">
        <v>5440</v>
      </c>
      <c r="N310">
        <v>4480</v>
      </c>
      <c r="O310">
        <v>960</v>
      </c>
      <c r="P310" t="s">
        <v>25</v>
      </c>
      <c r="Q310" t="s">
        <v>26</v>
      </c>
      <c r="R310" t="str">
        <f>TEXT(SalesData[[#This Row],[Order Date]],"mmm")</f>
        <v>Dec</v>
      </c>
      <c r="S310" s="2" t="str">
        <f>"Q"&amp;ROUNDUP(MONTH(SalesData[[#This Row],[Order Date]])/3,0)</f>
        <v>Q4</v>
      </c>
      <c r="T310">
        <f>YEAR(SalesData[[#This Row],[Order Date]])</f>
        <v>2025</v>
      </c>
      <c r="U310">
        <f>SalesData[[#This Row],[Profit]]/SalesData[[#This Row],[Sales]]</f>
        <v>0.17647058823529413</v>
      </c>
    </row>
    <row r="311" spans="1:21" x14ac:dyDescent="0.25">
      <c r="A311" t="s">
        <v>550</v>
      </c>
      <c r="B311" s="1">
        <v>45819</v>
      </c>
      <c r="C311" t="s">
        <v>226</v>
      </c>
      <c r="D311" t="s">
        <v>317</v>
      </c>
      <c r="E311" t="s">
        <v>93</v>
      </c>
      <c r="F311" t="s">
        <v>94</v>
      </c>
      <c r="G311" t="s">
        <v>64</v>
      </c>
      <c r="H311" t="s">
        <v>46</v>
      </c>
      <c r="I311" t="s">
        <v>66</v>
      </c>
      <c r="J311">
        <v>7</v>
      </c>
      <c r="K311">
        <v>4500</v>
      </c>
      <c r="L311">
        <v>0</v>
      </c>
      <c r="M311">
        <v>31500</v>
      </c>
      <c r="N311">
        <v>22050</v>
      </c>
      <c r="O311">
        <v>9450</v>
      </c>
      <c r="P311" t="s">
        <v>40</v>
      </c>
      <c r="Q311" t="s">
        <v>26</v>
      </c>
      <c r="R311" t="str">
        <f>TEXT(SalesData[[#This Row],[Order Date]],"mmm")</f>
        <v>Jun</v>
      </c>
      <c r="S311" s="2" t="str">
        <f>"Q"&amp;ROUNDUP(MONTH(SalesData[[#This Row],[Order Date]])/3,0)</f>
        <v>Q2</v>
      </c>
      <c r="T311">
        <f>YEAR(SalesData[[#This Row],[Order Date]])</f>
        <v>2025</v>
      </c>
      <c r="U311">
        <f>SalesData[[#This Row],[Profit]]/SalesData[[#This Row],[Sales]]</f>
        <v>0.3</v>
      </c>
    </row>
    <row r="312" spans="1:21" x14ac:dyDescent="0.25">
      <c r="A312" t="s">
        <v>551</v>
      </c>
      <c r="B312" s="1">
        <v>45721</v>
      </c>
      <c r="C312" t="s">
        <v>381</v>
      </c>
      <c r="D312" t="s">
        <v>295</v>
      </c>
      <c r="E312" t="s">
        <v>20</v>
      </c>
      <c r="F312" t="s">
        <v>21</v>
      </c>
      <c r="G312" t="s">
        <v>22</v>
      </c>
      <c r="H312" t="s">
        <v>23</v>
      </c>
      <c r="I312" t="s">
        <v>80</v>
      </c>
      <c r="J312">
        <v>3</v>
      </c>
      <c r="K312">
        <v>3500</v>
      </c>
      <c r="L312">
        <v>5</v>
      </c>
      <c r="M312">
        <v>9975</v>
      </c>
      <c r="N312">
        <v>7349.9999999999991</v>
      </c>
      <c r="O312">
        <v>2625.0000000000009</v>
      </c>
      <c r="P312" t="s">
        <v>40</v>
      </c>
      <c r="Q312" t="s">
        <v>33</v>
      </c>
      <c r="R312" t="str">
        <f>TEXT(SalesData[[#This Row],[Order Date]],"mmm")</f>
        <v>Mar</v>
      </c>
      <c r="S312" s="2" t="str">
        <f>"Q"&amp;ROUNDUP(MONTH(SalesData[[#This Row],[Order Date]])/3,0)</f>
        <v>Q1</v>
      </c>
      <c r="T312">
        <f>YEAR(SalesData[[#This Row],[Order Date]])</f>
        <v>2025</v>
      </c>
      <c r="U312">
        <f>SalesData[[#This Row],[Profit]]/SalesData[[#This Row],[Sales]]</f>
        <v>0.2631578947368422</v>
      </c>
    </row>
    <row r="313" spans="1:21" x14ac:dyDescent="0.25">
      <c r="A313" t="s">
        <v>552</v>
      </c>
      <c r="B313" s="1">
        <v>45678</v>
      </c>
      <c r="C313" t="s">
        <v>360</v>
      </c>
      <c r="D313" t="s">
        <v>139</v>
      </c>
      <c r="E313" t="s">
        <v>93</v>
      </c>
      <c r="F313" t="s">
        <v>94</v>
      </c>
      <c r="G313" t="s">
        <v>64</v>
      </c>
      <c r="H313" t="s">
        <v>65</v>
      </c>
      <c r="I313" t="s">
        <v>80</v>
      </c>
      <c r="J313">
        <v>7</v>
      </c>
      <c r="K313">
        <v>4500</v>
      </c>
      <c r="L313">
        <v>5</v>
      </c>
      <c r="M313">
        <v>29925</v>
      </c>
      <c r="N313">
        <v>22050</v>
      </c>
      <c r="O313">
        <v>7875</v>
      </c>
      <c r="P313" t="s">
        <v>54</v>
      </c>
      <c r="Q313" t="s">
        <v>76</v>
      </c>
      <c r="R313" t="str">
        <f>TEXT(SalesData[[#This Row],[Order Date]],"mmm")</f>
        <v>Jan</v>
      </c>
      <c r="S313" s="2" t="str">
        <f>"Q"&amp;ROUNDUP(MONTH(SalesData[[#This Row],[Order Date]])/3,0)</f>
        <v>Q1</v>
      </c>
      <c r="T313">
        <f>YEAR(SalesData[[#This Row],[Order Date]])</f>
        <v>2025</v>
      </c>
      <c r="U313">
        <f>SalesData[[#This Row],[Profit]]/SalesData[[#This Row],[Sales]]</f>
        <v>0.26315789473684209</v>
      </c>
    </row>
    <row r="314" spans="1:21" x14ac:dyDescent="0.25">
      <c r="A314" t="s">
        <v>553</v>
      </c>
      <c r="B314" s="1">
        <v>45746</v>
      </c>
      <c r="C314" t="s">
        <v>182</v>
      </c>
      <c r="D314" t="s">
        <v>103</v>
      </c>
      <c r="E314" t="s">
        <v>62</v>
      </c>
      <c r="F314" t="s">
        <v>63</v>
      </c>
      <c r="G314" t="s">
        <v>64</v>
      </c>
      <c r="H314" t="s">
        <v>65</v>
      </c>
      <c r="I314" t="s">
        <v>24</v>
      </c>
      <c r="J314">
        <v>2</v>
      </c>
      <c r="K314">
        <v>8500</v>
      </c>
      <c r="L314">
        <v>10</v>
      </c>
      <c r="M314">
        <v>15300</v>
      </c>
      <c r="N314">
        <v>11900</v>
      </c>
      <c r="O314">
        <v>3400</v>
      </c>
      <c r="P314" t="s">
        <v>40</v>
      </c>
      <c r="Q314" t="s">
        <v>33</v>
      </c>
      <c r="R314" t="str">
        <f>TEXT(SalesData[[#This Row],[Order Date]],"mmm")</f>
        <v>Mar</v>
      </c>
      <c r="S314" s="2" t="str">
        <f>"Q"&amp;ROUNDUP(MONTH(SalesData[[#This Row],[Order Date]])/3,0)</f>
        <v>Q1</v>
      </c>
      <c r="T314">
        <f>YEAR(SalesData[[#This Row],[Order Date]])</f>
        <v>2025</v>
      </c>
      <c r="U314">
        <f>SalesData[[#This Row],[Profit]]/SalesData[[#This Row],[Sales]]</f>
        <v>0.22222222222222221</v>
      </c>
    </row>
    <row r="315" spans="1:21" x14ac:dyDescent="0.25">
      <c r="A315" t="s">
        <v>554</v>
      </c>
      <c r="B315" s="1">
        <v>45751</v>
      </c>
      <c r="C315" t="s">
        <v>105</v>
      </c>
      <c r="D315" t="s">
        <v>555</v>
      </c>
      <c r="E315" t="s">
        <v>37</v>
      </c>
      <c r="F315" t="s">
        <v>38</v>
      </c>
      <c r="G315" t="s">
        <v>22</v>
      </c>
      <c r="H315" t="s">
        <v>23</v>
      </c>
      <c r="I315" t="s">
        <v>72</v>
      </c>
      <c r="J315">
        <v>2</v>
      </c>
      <c r="K315">
        <v>55000</v>
      </c>
      <c r="L315">
        <v>20</v>
      </c>
      <c r="M315">
        <v>88000</v>
      </c>
      <c r="N315">
        <v>77000</v>
      </c>
      <c r="O315">
        <v>11000</v>
      </c>
      <c r="P315" t="s">
        <v>40</v>
      </c>
      <c r="Q315" t="s">
        <v>76</v>
      </c>
      <c r="R315" t="str">
        <f>TEXT(SalesData[[#This Row],[Order Date]],"mmm")</f>
        <v>Apr</v>
      </c>
      <c r="S315" s="2" t="str">
        <f>"Q"&amp;ROUNDUP(MONTH(SalesData[[#This Row],[Order Date]])/3,0)</f>
        <v>Q2</v>
      </c>
      <c r="T315">
        <f>YEAR(SalesData[[#This Row],[Order Date]])</f>
        <v>2025</v>
      </c>
      <c r="U315">
        <f>SalesData[[#This Row],[Profit]]/SalesData[[#This Row],[Sales]]</f>
        <v>0.125</v>
      </c>
    </row>
    <row r="316" spans="1:21" x14ac:dyDescent="0.25">
      <c r="A316" t="s">
        <v>556</v>
      </c>
      <c r="B316" s="1">
        <v>45733</v>
      </c>
      <c r="C316" t="s">
        <v>135</v>
      </c>
      <c r="D316" t="s">
        <v>57</v>
      </c>
      <c r="E316" t="s">
        <v>70</v>
      </c>
      <c r="F316" t="s">
        <v>71</v>
      </c>
      <c r="G316" t="s">
        <v>22</v>
      </c>
      <c r="H316" t="s">
        <v>46</v>
      </c>
      <c r="I316" t="s">
        <v>53</v>
      </c>
      <c r="J316">
        <v>8</v>
      </c>
      <c r="K316">
        <v>1500</v>
      </c>
      <c r="L316">
        <v>10</v>
      </c>
      <c r="M316">
        <v>10800</v>
      </c>
      <c r="N316">
        <v>8400</v>
      </c>
      <c r="O316">
        <v>2400</v>
      </c>
      <c r="P316" t="s">
        <v>40</v>
      </c>
      <c r="Q316" t="s">
        <v>26</v>
      </c>
      <c r="R316" t="str">
        <f>TEXT(SalesData[[#This Row],[Order Date]],"mmm")</f>
        <v>Mar</v>
      </c>
      <c r="S316" s="2" t="str">
        <f>"Q"&amp;ROUNDUP(MONTH(SalesData[[#This Row],[Order Date]])/3,0)</f>
        <v>Q1</v>
      </c>
      <c r="T316">
        <f>YEAR(SalesData[[#This Row],[Order Date]])</f>
        <v>2025</v>
      </c>
      <c r="U316">
        <f>SalesData[[#This Row],[Profit]]/SalesData[[#This Row],[Sales]]</f>
        <v>0.22222222222222221</v>
      </c>
    </row>
    <row r="317" spans="1:21" x14ac:dyDescent="0.25">
      <c r="A317" t="s">
        <v>557</v>
      </c>
      <c r="B317" s="1">
        <v>45744</v>
      </c>
      <c r="C317" t="s">
        <v>208</v>
      </c>
      <c r="D317" t="s">
        <v>49</v>
      </c>
      <c r="E317" t="s">
        <v>20</v>
      </c>
      <c r="F317" t="s">
        <v>21</v>
      </c>
      <c r="G317" t="s">
        <v>22</v>
      </c>
      <c r="H317" t="s">
        <v>32</v>
      </c>
      <c r="I317" t="s">
        <v>72</v>
      </c>
      <c r="J317">
        <v>10</v>
      </c>
      <c r="K317">
        <v>3500</v>
      </c>
      <c r="L317">
        <v>0</v>
      </c>
      <c r="M317">
        <v>35000</v>
      </c>
      <c r="N317">
        <v>24500</v>
      </c>
      <c r="O317">
        <v>10500</v>
      </c>
      <c r="P317" t="s">
        <v>40</v>
      </c>
      <c r="Q317" t="s">
        <v>33</v>
      </c>
      <c r="R317" t="str">
        <f>TEXT(SalesData[[#This Row],[Order Date]],"mmm")</f>
        <v>Mar</v>
      </c>
      <c r="S317" s="2" t="str">
        <f>"Q"&amp;ROUNDUP(MONTH(SalesData[[#This Row],[Order Date]])/3,0)</f>
        <v>Q1</v>
      </c>
      <c r="T317">
        <f>YEAR(SalesData[[#This Row],[Order Date]])</f>
        <v>2025</v>
      </c>
      <c r="U317">
        <f>SalesData[[#This Row],[Profit]]/SalesData[[#This Row],[Sales]]</f>
        <v>0.3</v>
      </c>
    </row>
    <row r="318" spans="1:21" x14ac:dyDescent="0.25">
      <c r="A318" t="s">
        <v>558</v>
      </c>
      <c r="B318" s="1">
        <v>45812</v>
      </c>
      <c r="C318" t="s">
        <v>147</v>
      </c>
      <c r="D318" t="s">
        <v>505</v>
      </c>
      <c r="E318" t="s">
        <v>20</v>
      </c>
      <c r="F318" t="s">
        <v>21</v>
      </c>
      <c r="G318" t="s">
        <v>22</v>
      </c>
      <c r="H318" t="s">
        <v>46</v>
      </c>
      <c r="I318" t="s">
        <v>53</v>
      </c>
      <c r="J318">
        <v>9</v>
      </c>
      <c r="K318">
        <v>3500</v>
      </c>
      <c r="L318">
        <v>5</v>
      </c>
      <c r="M318">
        <v>29925</v>
      </c>
      <c r="N318">
        <v>22050</v>
      </c>
      <c r="O318">
        <v>7875</v>
      </c>
      <c r="P318" t="s">
        <v>25</v>
      </c>
      <c r="Q318" t="s">
        <v>33</v>
      </c>
      <c r="R318" t="str">
        <f>TEXT(SalesData[[#This Row],[Order Date]],"mmm")</f>
        <v>Jun</v>
      </c>
      <c r="S318" s="2" t="str">
        <f>"Q"&amp;ROUNDUP(MONTH(SalesData[[#This Row],[Order Date]])/3,0)</f>
        <v>Q2</v>
      </c>
      <c r="T318">
        <f>YEAR(SalesData[[#This Row],[Order Date]])</f>
        <v>2025</v>
      </c>
      <c r="U318">
        <f>SalesData[[#This Row],[Profit]]/SalesData[[#This Row],[Sales]]</f>
        <v>0.26315789473684209</v>
      </c>
    </row>
    <row r="319" spans="1:21" x14ac:dyDescent="0.25">
      <c r="A319" t="s">
        <v>559</v>
      </c>
      <c r="B319" s="1">
        <v>45701</v>
      </c>
      <c r="C319" t="s">
        <v>28</v>
      </c>
      <c r="D319" t="s">
        <v>336</v>
      </c>
      <c r="E319" t="s">
        <v>37</v>
      </c>
      <c r="F319" t="s">
        <v>38</v>
      </c>
      <c r="G319" t="s">
        <v>22</v>
      </c>
      <c r="H319" t="s">
        <v>32</v>
      </c>
      <c r="I319" t="s">
        <v>53</v>
      </c>
      <c r="J319">
        <v>4</v>
      </c>
      <c r="K319">
        <v>55000</v>
      </c>
      <c r="L319">
        <v>10</v>
      </c>
      <c r="M319">
        <v>198000</v>
      </c>
      <c r="N319">
        <v>154000</v>
      </c>
      <c r="O319">
        <v>44000</v>
      </c>
      <c r="P319" t="s">
        <v>25</v>
      </c>
      <c r="Q319" t="s">
        <v>76</v>
      </c>
      <c r="R319" t="str">
        <f>TEXT(SalesData[[#This Row],[Order Date]],"mmm")</f>
        <v>Feb</v>
      </c>
      <c r="S319" s="2" t="str">
        <f>"Q"&amp;ROUNDUP(MONTH(SalesData[[#This Row],[Order Date]])/3,0)</f>
        <v>Q1</v>
      </c>
      <c r="T319">
        <f>YEAR(SalesData[[#This Row],[Order Date]])</f>
        <v>2025</v>
      </c>
      <c r="U319">
        <f>SalesData[[#This Row],[Profit]]/SalesData[[#This Row],[Sales]]</f>
        <v>0.22222222222222221</v>
      </c>
    </row>
    <row r="320" spans="1:21" x14ac:dyDescent="0.25">
      <c r="A320" t="s">
        <v>560</v>
      </c>
      <c r="B320" s="1">
        <v>45921</v>
      </c>
      <c r="C320" t="s">
        <v>367</v>
      </c>
      <c r="D320" t="s">
        <v>262</v>
      </c>
      <c r="E320" t="s">
        <v>93</v>
      </c>
      <c r="F320" t="s">
        <v>94</v>
      </c>
      <c r="G320" t="s">
        <v>64</v>
      </c>
      <c r="H320" t="s">
        <v>65</v>
      </c>
      <c r="I320" t="s">
        <v>24</v>
      </c>
      <c r="J320">
        <v>7</v>
      </c>
      <c r="K320">
        <v>4500</v>
      </c>
      <c r="L320">
        <v>15</v>
      </c>
      <c r="M320">
        <v>26775</v>
      </c>
      <c r="N320">
        <v>22050</v>
      </c>
      <c r="O320">
        <v>4725</v>
      </c>
      <c r="P320" t="s">
        <v>40</v>
      </c>
      <c r="Q320" t="s">
        <v>26</v>
      </c>
      <c r="R320" t="str">
        <f>TEXT(SalesData[[#This Row],[Order Date]],"mmm")</f>
        <v>Sep</v>
      </c>
      <c r="S320" s="2" t="str">
        <f>"Q"&amp;ROUNDUP(MONTH(SalesData[[#This Row],[Order Date]])/3,0)</f>
        <v>Q3</v>
      </c>
      <c r="T320">
        <f>YEAR(SalesData[[#This Row],[Order Date]])</f>
        <v>2025</v>
      </c>
      <c r="U320">
        <f>SalesData[[#This Row],[Profit]]/SalesData[[#This Row],[Sales]]</f>
        <v>0.17647058823529413</v>
      </c>
    </row>
    <row r="321" spans="1:21" x14ac:dyDescent="0.25">
      <c r="A321" t="s">
        <v>561</v>
      </c>
      <c r="B321" s="1">
        <v>45748</v>
      </c>
      <c r="C321" t="s">
        <v>42</v>
      </c>
      <c r="D321" t="s">
        <v>103</v>
      </c>
      <c r="E321" t="s">
        <v>50</v>
      </c>
      <c r="F321" t="s">
        <v>51</v>
      </c>
      <c r="G321" t="s">
        <v>52</v>
      </c>
      <c r="H321" t="s">
        <v>23</v>
      </c>
      <c r="I321" t="s">
        <v>53</v>
      </c>
      <c r="J321">
        <v>6</v>
      </c>
      <c r="K321">
        <v>3200</v>
      </c>
      <c r="L321">
        <v>15</v>
      </c>
      <c r="M321">
        <v>16320</v>
      </c>
      <c r="N321">
        <v>13440</v>
      </c>
      <c r="O321">
        <v>2880</v>
      </c>
      <c r="P321" t="s">
        <v>25</v>
      </c>
      <c r="Q321" t="s">
        <v>26</v>
      </c>
      <c r="R321" t="str">
        <f>TEXT(SalesData[[#This Row],[Order Date]],"mmm")</f>
        <v>Apr</v>
      </c>
      <c r="S321" s="2" t="str">
        <f>"Q"&amp;ROUNDUP(MONTH(SalesData[[#This Row],[Order Date]])/3,0)</f>
        <v>Q2</v>
      </c>
      <c r="T321">
        <f>YEAR(SalesData[[#This Row],[Order Date]])</f>
        <v>2025</v>
      </c>
      <c r="U321">
        <f>SalesData[[#This Row],[Profit]]/SalesData[[#This Row],[Sales]]</f>
        <v>0.17647058823529413</v>
      </c>
    </row>
    <row r="322" spans="1:21" x14ac:dyDescent="0.25">
      <c r="A322" t="s">
        <v>562</v>
      </c>
      <c r="B322" s="1">
        <v>45980</v>
      </c>
      <c r="C322" t="s">
        <v>190</v>
      </c>
      <c r="D322" t="s">
        <v>505</v>
      </c>
      <c r="E322" t="s">
        <v>70</v>
      </c>
      <c r="F322" t="s">
        <v>71</v>
      </c>
      <c r="G322" t="s">
        <v>22</v>
      </c>
      <c r="H322" t="s">
        <v>46</v>
      </c>
      <c r="I322" t="s">
        <v>72</v>
      </c>
      <c r="J322">
        <v>10</v>
      </c>
      <c r="K322">
        <v>1500</v>
      </c>
      <c r="L322">
        <v>5</v>
      </c>
      <c r="M322">
        <v>14250</v>
      </c>
      <c r="N322">
        <v>10500</v>
      </c>
      <c r="O322">
        <v>3750</v>
      </c>
      <c r="P322" t="s">
        <v>40</v>
      </c>
      <c r="Q322" t="s">
        <v>33</v>
      </c>
      <c r="R322" t="str">
        <f>TEXT(SalesData[[#This Row],[Order Date]],"mmm")</f>
        <v>Nov</v>
      </c>
      <c r="S322" s="2" t="str">
        <f>"Q"&amp;ROUNDUP(MONTH(SalesData[[#This Row],[Order Date]])/3,0)</f>
        <v>Q4</v>
      </c>
      <c r="T322">
        <f>YEAR(SalesData[[#This Row],[Order Date]])</f>
        <v>2025</v>
      </c>
      <c r="U322">
        <f>SalesData[[#This Row],[Profit]]/SalesData[[#This Row],[Sales]]</f>
        <v>0.26315789473684209</v>
      </c>
    </row>
    <row r="323" spans="1:21" x14ac:dyDescent="0.25">
      <c r="A323" t="s">
        <v>563</v>
      </c>
      <c r="B323" s="1">
        <v>45980</v>
      </c>
      <c r="C323" t="s">
        <v>99</v>
      </c>
      <c r="D323" t="s">
        <v>100</v>
      </c>
      <c r="E323" t="s">
        <v>70</v>
      </c>
      <c r="F323" t="s">
        <v>71</v>
      </c>
      <c r="G323" t="s">
        <v>22</v>
      </c>
      <c r="H323" t="s">
        <v>65</v>
      </c>
      <c r="I323" t="s">
        <v>66</v>
      </c>
      <c r="J323">
        <v>7</v>
      </c>
      <c r="K323">
        <v>1500</v>
      </c>
      <c r="L323">
        <v>15</v>
      </c>
      <c r="M323">
        <v>8925</v>
      </c>
      <c r="N323">
        <v>7349.9999999999991</v>
      </c>
      <c r="O323">
        <v>1575.0000000000009</v>
      </c>
      <c r="P323" t="s">
        <v>58</v>
      </c>
      <c r="Q323" t="s">
        <v>33</v>
      </c>
      <c r="R323" t="str">
        <f>TEXT(SalesData[[#This Row],[Order Date]],"mmm")</f>
        <v>Nov</v>
      </c>
      <c r="S323" s="2" t="str">
        <f>"Q"&amp;ROUNDUP(MONTH(SalesData[[#This Row],[Order Date]])/3,0)</f>
        <v>Q4</v>
      </c>
      <c r="T323">
        <f>YEAR(SalesData[[#This Row],[Order Date]])</f>
        <v>2025</v>
      </c>
      <c r="U323">
        <f>SalesData[[#This Row],[Profit]]/SalesData[[#This Row],[Sales]]</f>
        <v>0.17647058823529421</v>
      </c>
    </row>
    <row r="324" spans="1:21" x14ac:dyDescent="0.25">
      <c r="A324" t="s">
        <v>564</v>
      </c>
      <c r="B324" s="1">
        <v>45951</v>
      </c>
      <c r="C324" t="s">
        <v>250</v>
      </c>
      <c r="D324" t="s">
        <v>422</v>
      </c>
      <c r="E324" t="s">
        <v>93</v>
      </c>
      <c r="F324" t="s">
        <v>94</v>
      </c>
      <c r="G324" t="s">
        <v>64</v>
      </c>
      <c r="H324" t="s">
        <v>32</v>
      </c>
      <c r="I324" t="s">
        <v>39</v>
      </c>
      <c r="J324">
        <v>9</v>
      </c>
      <c r="K324">
        <v>4500</v>
      </c>
      <c r="L324">
        <v>0</v>
      </c>
      <c r="M324">
        <v>40500</v>
      </c>
      <c r="N324">
        <v>28350</v>
      </c>
      <c r="O324">
        <v>12150</v>
      </c>
      <c r="P324" t="s">
        <v>58</v>
      </c>
      <c r="Q324" t="s">
        <v>26</v>
      </c>
      <c r="R324" t="str">
        <f>TEXT(SalesData[[#This Row],[Order Date]],"mmm")</f>
        <v>Oct</v>
      </c>
      <c r="S324" s="2" t="str">
        <f>"Q"&amp;ROUNDUP(MONTH(SalesData[[#This Row],[Order Date]])/3,0)</f>
        <v>Q4</v>
      </c>
      <c r="T324">
        <f>YEAR(SalesData[[#This Row],[Order Date]])</f>
        <v>2025</v>
      </c>
      <c r="U324">
        <f>SalesData[[#This Row],[Profit]]/SalesData[[#This Row],[Sales]]</f>
        <v>0.3</v>
      </c>
    </row>
    <row r="325" spans="1:21" x14ac:dyDescent="0.25">
      <c r="A325" t="s">
        <v>565</v>
      </c>
      <c r="B325" s="1">
        <v>45820</v>
      </c>
      <c r="C325" t="s">
        <v>345</v>
      </c>
      <c r="D325" t="s">
        <v>238</v>
      </c>
      <c r="E325" t="s">
        <v>44</v>
      </c>
      <c r="F325" t="s">
        <v>45</v>
      </c>
      <c r="G325" t="s">
        <v>22</v>
      </c>
      <c r="H325" t="s">
        <v>46</v>
      </c>
      <c r="I325" t="s">
        <v>39</v>
      </c>
      <c r="J325">
        <v>4</v>
      </c>
      <c r="K325">
        <v>9500</v>
      </c>
      <c r="L325">
        <v>10</v>
      </c>
      <c r="M325">
        <v>34200</v>
      </c>
      <c r="N325">
        <v>26600</v>
      </c>
      <c r="O325">
        <v>7600</v>
      </c>
      <c r="P325" t="s">
        <v>40</v>
      </c>
      <c r="Q325" t="s">
        <v>76</v>
      </c>
      <c r="R325" t="str">
        <f>TEXT(SalesData[[#This Row],[Order Date]],"mmm")</f>
        <v>Jun</v>
      </c>
      <c r="S325" s="2" t="str">
        <f>"Q"&amp;ROUNDUP(MONTH(SalesData[[#This Row],[Order Date]])/3,0)</f>
        <v>Q2</v>
      </c>
      <c r="T325">
        <f>YEAR(SalesData[[#This Row],[Order Date]])</f>
        <v>2025</v>
      </c>
      <c r="U325">
        <f>SalesData[[#This Row],[Profit]]/SalesData[[#This Row],[Sales]]</f>
        <v>0.22222222222222221</v>
      </c>
    </row>
    <row r="326" spans="1:21" x14ac:dyDescent="0.25">
      <c r="A326" t="s">
        <v>566</v>
      </c>
      <c r="B326" s="1">
        <v>45828</v>
      </c>
      <c r="C326" t="s">
        <v>367</v>
      </c>
      <c r="D326" t="s">
        <v>285</v>
      </c>
      <c r="E326" t="s">
        <v>62</v>
      </c>
      <c r="F326" t="s">
        <v>63</v>
      </c>
      <c r="G326" t="s">
        <v>64</v>
      </c>
      <c r="H326" t="s">
        <v>23</v>
      </c>
      <c r="I326" t="s">
        <v>80</v>
      </c>
      <c r="J326">
        <v>8</v>
      </c>
      <c r="K326">
        <v>8500</v>
      </c>
      <c r="L326">
        <v>15</v>
      </c>
      <c r="M326">
        <v>57800</v>
      </c>
      <c r="N326">
        <v>47600</v>
      </c>
      <c r="O326">
        <v>10200</v>
      </c>
      <c r="P326" t="s">
        <v>25</v>
      </c>
      <c r="Q326" t="s">
        <v>76</v>
      </c>
      <c r="R326" t="str">
        <f>TEXT(SalesData[[#This Row],[Order Date]],"mmm")</f>
        <v>Jun</v>
      </c>
      <c r="S326" s="2" t="str">
        <f>"Q"&amp;ROUNDUP(MONTH(SalesData[[#This Row],[Order Date]])/3,0)</f>
        <v>Q2</v>
      </c>
      <c r="T326">
        <f>YEAR(SalesData[[#This Row],[Order Date]])</f>
        <v>2025</v>
      </c>
      <c r="U326">
        <f>SalesData[[#This Row],[Profit]]/SalesData[[#This Row],[Sales]]</f>
        <v>0.17647058823529413</v>
      </c>
    </row>
    <row r="327" spans="1:21" x14ac:dyDescent="0.25">
      <c r="A327" t="s">
        <v>567</v>
      </c>
      <c r="B327" s="1">
        <v>45778</v>
      </c>
      <c r="C327" t="s">
        <v>105</v>
      </c>
      <c r="D327" t="s">
        <v>502</v>
      </c>
      <c r="E327" t="s">
        <v>44</v>
      </c>
      <c r="F327" t="s">
        <v>45</v>
      </c>
      <c r="G327" t="s">
        <v>22</v>
      </c>
      <c r="H327" t="s">
        <v>46</v>
      </c>
      <c r="I327" t="s">
        <v>80</v>
      </c>
      <c r="J327">
        <v>9</v>
      </c>
      <c r="K327">
        <v>9500</v>
      </c>
      <c r="L327">
        <v>15</v>
      </c>
      <c r="M327">
        <v>72675</v>
      </c>
      <c r="N327">
        <v>59849.999999999993</v>
      </c>
      <c r="O327">
        <v>12825.000000000009</v>
      </c>
      <c r="P327" t="s">
        <v>25</v>
      </c>
      <c r="Q327" t="s">
        <v>33</v>
      </c>
      <c r="R327" t="str">
        <f>TEXT(SalesData[[#This Row],[Order Date]],"mmm")</f>
        <v>May</v>
      </c>
      <c r="S327" s="2" t="str">
        <f>"Q"&amp;ROUNDUP(MONTH(SalesData[[#This Row],[Order Date]])/3,0)</f>
        <v>Q2</v>
      </c>
      <c r="T327">
        <f>YEAR(SalesData[[#This Row],[Order Date]])</f>
        <v>2025</v>
      </c>
      <c r="U327">
        <f>SalesData[[#This Row],[Profit]]/SalesData[[#This Row],[Sales]]</f>
        <v>0.17647058823529424</v>
      </c>
    </row>
    <row r="328" spans="1:21" x14ac:dyDescent="0.25">
      <c r="A328" t="s">
        <v>568</v>
      </c>
      <c r="B328" s="1">
        <v>45709</v>
      </c>
      <c r="C328" t="s">
        <v>221</v>
      </c>
      <c r="D328" t="s">
        <v>247</v>
      </c>
      <c r="E328" t="s">
        <v>50</v>
      </c>
      <c r="F328" t="s">
        <v>51</v>
      </c>
      <c r="G328" t="s">
        <v>52</v>
      </c>
      <c r="H328" t="s">
        <v>46</v>
      </c>
      <c r="I328" t="s">
        <v>39</v>
      </c>
      <c r="J328">
        <v>9</v>
      </c>
      <c r="K328">
        <v>3200</v>
      </c>
      <c r="L328">
        <v>15</v>
      </c>
      <c r="M328">
        <v>24480</v>
      </c>
      <c r="N328">
        <v>20160</v>
      </c>
      <c r="O328">
        <v>4320</v>
      </c>
      <c r="P328" t="s">
        <v>40</v>
      </c>
      <c r="Q328" t="s">
        <v>33</v>
      </c>
      <c r="R328" t="str">
        <f>TEXT(SalesData[[#This Row],[Order Date]],"mmm")</f>
        <v>Feb</v>
      </c>
      <c r="S328" s="2" t="str">
        <f>"Q"&amp;ROUNDUP(MONTH(SalesData[[#This Row],[Order Date]])/3,0)</f>
        <v>Q1</v>
      </c>
      <c r="T328">
        <f>YEAR(SalesData[[#This Row],[Order Date]])</f>
        <v>2025</v>
      </c>
      <c r="U328">
        <f>SalesData[[#This Row],[Profit]]/SalesData[[#This Row],[Sales]]</f>
        <v>0.17647058823529413</v>
      </c>
    </row>
    <row r="329" spans="1:21" x14ac:dyDescent="0.25">
      <c r="A329" t="s">
        <v>569</v>
      </c>
      <c r="B329" s="1">
        <v>45856</v>
      </c>
      <c r="C329" t="s">
        <v>144</v>
      </c>
      <c r="D329" t="s">
        <v>169</v>
      </c>
      <c r="E329" t="s">
        <v>70</v>
      </c>
      <c r="F329" t="s">
        <v>71</v>
      </c>
      <c r="G329" t="s">
        <v>22</v>
      </c>
      <c r="H329" t="s">
        <v>32</v>
      </c>
      <c r="I329" t="s">
        <v>66</v>
      </c>
      <c r="J329">
        <v>3</v>
      </c>
      <c r="K329">
        <v>1500</v>
      </c>
      <c r="L329">
        <v>15</v>
      </c>
      <c r="M329">
        <v>3825</v>
      </c>
      <c r="N329">
        <v>3150</v>
      </c>
      <c r="O329">
        <v>675</v>
      </c>
      <c r="P329" t="s">
        <v>40</v>
      </c>
      <c r="Q329" t="s">
        <v>76</v>
      </c>
      <c r="R329" t="str">
        <f>TEXT(SalesData[[#This Row],[Order Date]],"mmm")</f>
        <v>Jul</v>
      </c>
      <c r="S329" s="2" t="str">
        <f>"Q"&amp;ROUNDUP(MONTH(SalesData[[#This Row],[Order Date]])/3,0)</f>
        <v>Q3</v>
      </c>
      <c r="T329">
        <f>YEAR(SalesData[[#This Row],[Order Date]])</f>
        <v>2025</v>
      </c>
      <c r="U329">
        <f>SalesData[[#This Row],[Profit]]/SalesData[[#This Row],[Sales]]</f>
        <v>0.17647058823529413</v>
      </c>
    </row>
    <row r="330" spans="1:21" x14ac:dyDescent="0.25">
      <c r="A330" t="s">
        <v>570</v>
      </c>
      <c r="B330" s="1">
        <v>45943</v>
      </c>
      <c r="C330" t="s">
        <v>360</v>
      </c>
      <c r="D330" t="s">
        <v>86</v>
      </c>
      <c r="E330" t="s">
        <v>70</v>
      </c>
      <c r="F330" t="s">
        <v>71</v>
      </c>
      <c r="G330" t="s">
        <v>22</v>
      </c>
      <c r="H330" t="s">
        <v>32</v>
      </c>
      <c r="I330" t="s">
        <v>53</v>
      </c>
      <c r="J330">
        <v>8</v>
      </c>
      <c r="K330">
        <v>1500</v>
      </c>
      <c r="L330">
        <v>5</v>
      </c>
      <c r="M330">
        <v>11400</v>
      </c>
      <c r="N330">
        <v>8400</v>
      </c>
      <c r="O330">
        <v>3000</v>
      </c>
      <c r="P330" t="s">
        <v>54</v>
      </c>
      <c r="Q330" t="s">
        <v>76</v>
      </c>
      <c r="R330" t="str">
        <f>TEXT(SalesData[[#This Row],[Order Date]],"mmm")</f>
        <v>Oct</v>
      </c>
      <c r="S330" s="2" t="str">
        <f>"Q"&amp;ROUNDUP(MONTH(SalesData[[#This Row],[Order Date]])/3,0)</f>
        <v>Q4</v>
      </c>
      <c r="T330">
        <f>YEAR(SalesData[[#This Row],[Order Date]])</f>
        <v>2025</v>
      </c>
      <c r="U330">
        <f>SalesData[[#This Row],[Profit]]/SalesData[[#This Row],[Sales]]</f>
        <v>0.26315789473684209</v>
      </c>
    </row>
    <row r="331" spans="1:21" x14ac:dyDescent="0.25">
      <c r="A331" t="s">
        <v>571</v>
      </c>
      <c r="B331" s="1">
        <v>45774</v>
      </c>
      <c r="C331" t="s">
        <v>68</v>
      </c>
      <c r="D331" t="s">
        <v>75</v>
      </c>
      <c r="E331" t="s">
        <v>30</v>
      </c>
      <c r="F331" t="s">
        <v>31</v>
      </c>
      <c r="G331" t="s">
        <v>22</v>
      </c>
      <c r="H331" t="s">
        <v>32</v>
      </c>
      <c r="I331" t="s">
        <v>53</v>
      </c>
      <c r="J331">
        <v>6</v>
      </c>
      <c r="K331">
        <v>800</v>
      </c>
      <c r="L331">
        <v>5</v>
      </c>
      <c r="M331">
        <v>4560</v>
      </c>
      <c r="N331">
        <v>3360</v>
      </c>
      <c r="O331">
        <v>1200</v>
      </c>
      <c r="P331" t="s">
        <v>54</v>
      </c>
      <c r="Q331" t="s">
        <v>33</v>
      </c>
      <c r="R331" t="str">
        <f>TEXT(SalesData[[#This Row],[Order Date]],"mmm")</f>
        <v>Apr</v>
      </c>
      <c r="S331" s="2" t="str">
        <f>"Q"&amp;ROUNDUP(MONTH(SalesData[[#This Row],[Order Date]])/3,0)</f>
        <v>Q2</v>
      </c>
      <c r="T331">
        <f>YEAR(SalesData[[#This Row],[Order Date]])</f>
        <v>2025</v>
      </c>
      <c r="U331">
        <f>SalesData[[#This Row],[Profit]]/SalesData[[#This Row],[Sales]]</f>
        <v>0.26315789473684209</v>
      </c>
    </row>
    <row r="332" spans="1:21" x14ac:dyDescent="0.25">
      <c r="A332" t="s">
        <v>572</v>
      </c>
      <c r="B332" s="1">
        <v>45774</v>
      </c>
      <c r="C332" t="s">
        <v>42</v>
      </c>
      <c r="D332" t="s">
        <v>183</v>
      </c>
      <c r="E332" t="s">
        <v>37</v>
      </c>
      <c r="F332" t="s">
        <v>38</v>
      </c>
      <c r="G332" t="s">
        <v>22</v>
      </c>
      <c r="H332" t="s">
        <v>32</v>
      </c>
      <c r="I332" t="s">
        <v>53</v>
      </c>
      <c r="J332">
        <v>6</v>
      </c>
      <c r="K332">
        <v>55000</v>
      </c>
      <c r="L332">
        <v>10</v>
      </c>
      <c r="M332">
        <v>297000</v>
      </c>
      <c r="N332">
        <v>231000</v>
      </c>
      <c r="O332">
        <v>66000.000000000029</v>
      </c>
      <c r="P332" t="s">
        <v>58</v>
      </c>
      <c r="Q332" t="s">
        <v>26</v>
      </c>
      <c r="R332" t="str">
        <f>TEXT(SalesData[[#This Row],[Order Date]],"mmm")</f>
        <v>Apr</v>
      </c>
      <c r="S332" s="2" t="str">
        <f>"Q"&amp;ROUNDUP(MONTH(SalesData[[#This Row],[Order Date]])/3,0)</f>
        <v>Q2</v>
      </c>
      <c r="T332">
        <f>YEAR(SalesData[[#This Row],[Order Date]])</f>
        <v>2025</v>
      </c>
      <c r="U332">
        <f>SalesData[[#This Row],[Profit]]/SalesData[[#This Row],[Sales]]</f>
        <v>0.22222222222222232</v>
      </c>
    </row>
    <row r="333" spans="1:21" x14ac:dyDescent="0.25">
      <c r="A333" t="s">
        <v>573</v>
      </c>
      <c r="B333" s="1">
        <v>46015</v>
      </c>
      <c r="C333" t="s">
        <v>381</v>
      </c>
      <c r="D333" t="s">
        <v>310</v>
      </c>
      <c r="E333" t="s">
        <v>20</v>
      </c>
      <c r="F333" t="s">
        <v>21</v>
      </c>
      <c r="G333" t="s">
        <v>22</v>
      </c>
      <c r="H333" t="s">
        <v>23</v>
      </c>
      <c r="I333" t="s">
        <v>72</v>
      </c>
      <c r="J333">
        <v>4</v>
      </c>
      <c r="K333">
        <v>3500</v>
      </c>
      <c r="L333">
        <v>5</v>
      </c>
      <c r="M333">
        <v>13300</v>
      </c>
      <c r="N333">
        <v>9800</v>
      </c>
      <c r="O333">
        <v>3500</v>
      </c>
      <c r="P333" t="s">
        <v>54</v>
      </c>
      <c r="Q333" t="s">
        <v>33</v>
      </c>
      <c r="R333" t="str">
        <f>TEXT(SalesData[[#This Row],[Order Date]],"mmm")</f>
        <v>Dec</v>
      </c>
      <c r="S333" s="2" t="str">
        <f>"Q"&amp;ROUNDUP(MONTH(SalesData[[#This Row],[Order Date]])/3,0)</f>
        <v>Q4</v>
      </c>
      <c r="T333">
        <f>YEAR(SalesData[[#This Row],[Order Date]])</f>
        <v>2025</v>
      </c>
      <c r="U333">
        <f>SalesData[[#This Row],[Profit]]/SalesData[[#This Row],[Sales]]</f>
        <v>0.26315789473684209</v>
      </c>
    </row>
    <row r="334" spans="1:21" x14ac:dyDescent="0.25">
      <c r="A334" t="s">
        <v>574</v>
      </c>
      <c r="B334" s="1">
        <v>45668</v>
      </c>
      <c r="C334" t="s">
        <v>82</v>
      </c>
      <c r="D334" t="s">
        <v>338</v>
      </c>
      <c r="E334" t="s">
        <v>20</v>
      </c>
      <c r="F334" t="s">
        <v>21</v>
      </c>
      <c r="G334" t="s">
        <v>22</v>
      </c>
      <c r="H334" t="s">
        <v>32</v>
      </c>
      <c r="I334" t="s">
        <v>80</v>
      </c>
      <c r="J334">
        <v>8</v>
      </c>
      <c r="K334">
        <v>3500</v>
      </c>
      <c r="L334">
        <v>5</v>
      </c>
      <c r="M334">
        <v>26600</v>
      </c>
      <c r="N334">
        <v>19600</v>
      </c>
      <c r="O334">
        <v>7000</v>
      </c>
      <c r="P334" t="s">
        <v>54</v>
      </c>
      <c r="Q334" t="s">
        <v>26</v>
      </c>
      <c r="R334" t="str">
        <f>TEXT(SalesData[[#This Row],[Order Date]],"mmm")</f>
        <v>Jan</v>
      </c>
      <c r="S334" s="2" t="str">
        <f>"Q"&amp;ROUNDUP(MONTH(SalesData[[#This Row],[Order Date]])/3,0)</f>
        <v>Q1</v>
      </c>
      <c r="T334">
        <f>YEAR(SalesData[[#This Row],[Order Date]])</f>
        <v>2025</v>
      </c>
      <c r="U334">
        <f>SalesData[[#This Row],[Profit]]/SalesData[[#This Row],[Sales]]</f>
        <v>0.26315789473684209</v>
      </c>
    </row>
    <row r="335" spans="1:21" x14ac:dyDescent="0.25">
      <c r="A335" t="s">
        <v>575</v>
      </c>
      <c r="B335" s="1">
        <v>45727</v>
      </c>
      <c r="C335" t="s">
        <v>91</v>
      </c>
      <c r="D335" t="s">
        <v>196</v>
      </c>
      <c r="E335" t="s">
        <v>50</v>
      </c>
      <c r="F335" t="s">
        <v>51</v>
      </c>
      <c r="G335" t="s">
        <v>52</v>
      </c>
      <c r="H335" t="s">
        <v>46</v>
      </c>
      <c r="I335" t="s">
        <v>53</v>
      </c>
      <c r="J335">
        <v>4</v>
      </c>
      <c r="K335">
        <v>3200</v>
      </c>
      <c r="L335">
        <v>15</v>
      </c>
      <c r="M335">
        <v>10880</v>
      </c>
      <c r="N335">
        <v>8960</v>
      </c>
      <c r="O335">
        <v>1920</v>
      </c>
      <c r="P335" t="s">
        <v>54</v>
      </c>
      <c r="Q335" t="s">
        <v>76</v>
      </c>
      <c r="R335" t="str">
        <f>TEXT(SalesData[[#This Row],[Order Date]],"mmm")</f>
        <v>Mar</v>
      </c>
      <c r="S335" s="2" t="str">
        <f>"Q"&amp;ROUNDUP(MONTH(SalesData[[#This Row],[Order Date]])/3,0)</f>
        <v>Q1</v>
      </c>
      <c r="T335">
        <f>YEAR(SalesData[[#This Row],[Order Date]])</f>
        <v>2025</v>
      </c>
      <c r="U335">
        <f>SalesData[[#This Row],[Profit]]/SalesData[[#This Row],[Sales]]</f>
        <v>0.17647058823529413</v>
      </c>
    </row>
    <row r="336" spans="1:21" x14ac:dyDescent="0.25">
      <c r="A336" t="s">
        <v>576</v>
      </c>
      <c r="B336" s="1">
        <v>45728</v>
      </c>
      <c r="C336" t="s">
        <v>18</v>
      </c>
      <c r="D336" t="s">
        <v>275</v>
      </c>
      <c r="E336" t="s">
        <v>50</v>
      </c>
      <c r="F336" t="s">
        <v>51</v>
      </c>
      <c r="G336" t="s">
        <v>52</v>
      </c>
      <c r="H336" t="s">
        <v>32</v>
      </c>
      <c r="I336" t="s">
        <v>24</v>
      </c>
      <c r="J336">
        <v>5</v>
      </c>
      <c r="K336">
        <v>3200</v>
      </c>
      <c r="L336">
        <v>5</v>
      </c>
      <c r="M336">
        <v>15200</v>
      </c>
      <c r="N336">
        <v>11200</v>
      </c>
      <c r="O336">
        <v>4000</v>
      </c>
      <c r="P336" t="s">
        <v>40</v>
      </c>
      <c r="Q336" t="s">
        <v>76</v>
      </c>
      <c r="R336" t="str">
        <f>TEXT(SalesData[[#This Row],[Order Date]],"mmm")</f>
        <v>Mar</v>
      </c>
      <c r="S336" s="2" t="str">
        <f>"Q"&amp;ROUNDUP(MONTH(SalesData[[#This Row],[Order Date]])/3,0)</f>
        <v>Q1</v>
      </c>
      <c r="T336">
        <f>YEAR(SalesData[[#This Row],[Order Date]])</f>
        <v>2025</v>
      </c>
      <c r="U336">
        <f>SalesData[[#This Row],[Profit]]/SalesData[[#This Row],[Sales]]</f>
        <v>0.26315789473684209</v>
      </c>
    </row>
    <row r="337" spans="1:21" x14ac:dyDescent="0.25">
      <c r="A337" t="s">
        <v>577</v>
      </c>
      <c r="B337" s="1">
        <v>45964</v>
      </c>
      <c r="C337" t="s">
        <v>265</v>
      </c>
      <c r="D337" t="s">
        <v>258</v>
      </c>
      <c r="E337" t="s">
        <v>62</v>
      </c>
      <c r="F337" t="s">
        <v>63</v>
      </c>
      <c r="G337" t="s">
        <v>64</v>
      </c>
      <c r="H337" t="s">
        <v>23</v>
      </c>
      <c r="I337" t="s">
        <v>66</v>
      </c>
      <c r="J337">
        <v>8</v>
      </c>
      <c r="K337">
        <v>8500</v>
      </c>
      <c r="L337">
        <v>20</v>
      </c>
      <c r="M337">
        <v>54400</v>
      </c>
      <c r="N337">
        <v>47600</v>
      </c>
      <c r="O337">
        <v>6800</v>
      </c>
      <c r="P337" t="s">
        <v>54</v>
      </c>
      <c r="Q337" t="s">
        <v>76</v>
      </c>
      <c r="R337" t="str">
        <f>TEXT(SalesData[[#This Row],[Order Date]],"mmm")</f>
        <v>Nov</v>
      </c>
      <c r="S337" s="2" t="str">
        <f>"Q"&amp;ROUNDUP(MONTH(SalesData[[#This Row],[Order Date]])/3,0)</f>
        <v>Q4</v>
      </c>
      <c r="T337">
        <f>YEAR(SalesData[[#This Row],[Order Date]])</f>
        <v>2025</v>
      </c>
      <c r="U337">
        <f>SalesData[[#This Row],[Profit]]/SalesData[[#This Row],[Sales]]</f>
        <v>0.125</v>
      </c>
    </row>
    <row r="338" spans="1:21" x14ac:dyDescent="0.25">
      <c r="A338" t="s">
        <v>578</v>
      </c>
      <c r="B338" s="1">
        <v>46013</v>
      </c>
      <c r="C338" t="s">
        <v>221</v>
      </c>
      <c r="D338" t="s">
        <v>358</v>
      </c>
      <c r="E338" t="s">
        <v>37</v>
      </c>
      <c r="F338" t="s">
        <v>38</v>
      </c>
      <c r="G338" t="s">
        <v>22</v>
      </c>
      <c r="H338" t="s">
        <v>23</v>
      </c>
      <c r="I338" t="s">
        <v>66</v>
      </c>
      <c r="J338">
        <v>10</v>
      </c>
      <c r="K338">
        <v>55000</v>
      </c>
      <c r="L338">
        <v>0</v>
      </c>
      <c r="M338">
        <v>550000</v>
      </c>
      <c r="N338">
        <v>385000</v>
      </c>
      <c r="O338">
        <v>165000</v>
      </c>
      <c r="P338" t="s">
        <v>54</v>
      </c>
      <c r="Q338" t="s">
        <v>76</v>
      </c>
      <c r="R338" t="str">
        <f>TEXT(SalesData[[#This Row],[Order Date]],"mmm")</f>
        <v>Dec</v>
      </c>
      <c r="S338" s="2" t="str">
        <f>"Q"&amp;ROUNDUP(MONTH(SalesData[[#This Row],[Order Date]])/3,0)</f>
        <v>Q4</v>
      </c>
      <c r="T338">
        <f>YEAR(SalesData[[#This Row],[Order Date]])</f>
        <v>2025</v>
      </c>
      <c r="U338">
        <f>SalesData[[#This Row],[Profit]]/SalesData[[#This Row],[Sales]]</f>
        <v>0.3</v>
      </c>
    </row>
    <row r="339" spans="1:21" x14ac:dyDescent="0.25">
      <c r="A339" t="s">
        <v>579</v>
      </c>
      <c r="B339" s="1">
        <v>45837</v>
      </c>
      <c r="C339" t="s">
        <v>173</v>
      </c>
      <c r="D339" t="s">
        <v>142</v>
      </c>
      <c r="E339" t="s">
        <v>62</v>
      </c>
      <c r="F339" t="s">
        <v>63</v>
      </c>
      <c r="G339" t="s">
        <v>64</v>
      </c>
      <c r="H339" t="s">
        <v>32</v>
      </c>
      <c r="I339" t="s">
        <v>80</v>
      </c>
      <c r="J339">
        <v>5</v>
      </c>
      <c r="K339">
        <v>8500</v>
      </c>
      <c r="L339">
        <v>10</v>
      </c>
      <c r="M339">
        <v>38250</v>
      </c>
      <c r="N339">
        <v>29750</v>
      </c>
      <c r="O339">
        <v>8500.0000000000036</v>
      </c>
      <c r="P339" t="s">
        <v>25</v>
      </c>
      <c r="Q339" t="s">
        <v>76</v>
      </c>
      <c r="R339" t="str">
        <f>TEXT(SalesData[[#This Row],[Order Date]],"mmm")</f>
        <v>Jun</v>
      </c>
      <c r="S339" s="2" t="str">
        <f>"Q"&amp;ROUNDUP(MONTH(SalesData[[#This Row],[Order Date]])/3,0)</f>
        <v>Q2</v>
      </c>
      <c r="T339">
        <f>YEAR(SalesData[[#This Row],[Order Date]])</f>
        <v>2025</v>
      </c>
      <c r="U339">
        <f>SalesData[[#This Row],[Profit]]/SalesData[[#This Row],[Sales]]</f>
        <v>0.22222222222222232</v>
      </c>
    </row>
    <row r="340" spans="1:21" x14ac:dyDescent="0.25">
      <c r="A340" t="s">
        <v>580</v>
      </c>
      <c r="B340" s="1">
        <v>45820</v>
      </c>
      <c r="C340" t="s">
        <v>242</v>
      </c>
      <c r="D340" t="s">
        <v>408</v>
      </c>
      <c r="E340" t="s">
        <v>62</v>
      </c>
      <c r="F340" t="s">
        <v>63</v>
      </c>
      <c r="G340" t="s">
        <v>64</v>
      </c>
      <c r="H340" t="s">
        <v>23</v>
      </c>
      <c r="I340" t="s">
        <v>53</v>
      </c>
      <c r="J340">
        <v>2</v>
      </c>
      <c r="K340">
        <v>8500</v>
      </c>
      <c r="L340">
        <v>10</v>
      </c>
      <c r="M340">
        <v>15300</v>
      </c>
      <c r="N340">
        <v>11900</v>
      </c>
      <c r="O340">
        <v>3400</v>
      </c>
      <c r="P340" t="s">
        <v>40</v>
      </c>
      <c r="Q340" t="s">
        <v>76</v>
      </c>
      <c r="R340" t="str">
        <f>TEXT(SalesData[[#This Row],[Order Date]],"mmm")</f>
        <v>Jun</v>
      </c>
      <c r="S340" s="2" t="str">
        <f>"Q"&amp;ROUNDUP(MONTH(SalesData[[#This Row],[Order Date]])/3,0)</f>
        <v>Q2</v>
      </c>
      <c r="T340">
        <f>YEAR(SalesData[[#This Row],[Order Date]])</f>
        <v>2025</v>
      </c>
      <c r="U340">
        <f>SalesData[[#This Row],[Profit]]/SalesData[[#This Row],[Sales]]</f>
        <v>0.22222222222222221</v>
      </c>
    </row>
    <row r="341" spans="1:21" x14ac:dyDescent="0.25">
      <c r="A341" t="s">
        <v>581</v>
      </c>
      <c r="B341" s="1">
        <v>46020</v>
      </c>
      <c r="C341" t="s">
        <v>448</v>
      </c>
      <c r="D341" t="s">
        <v>119</v>
      </c>
      <c r="E341" t="s">
        <v>50</v>
      </c>
      <c r="F341" t="s">
        <v>51</v>
      </c>
      <c r="G341" t="s">
        <v>52</v>
      </c>
      <c r="H341" t="s">
        <v>65</v>
      </c>
      <c r="I341" t="s">
        <v>72</v>
      </c>
      <c r="J341">
        <v>8</v>
      </c>
      <c r="K341">
        <v>3200</v>
      </c>
      <c r="L341">
        <v>15</v>
      </c>
      <c r="M341">
        <v>21760</v>
      </c>
      <c r="N341">
        <v>17920</v>
      </c>
      <c r="O341">
        <v>3840</v>
      </c>
      <c r="P341" t="s">
        <v>25</v>
      </c>
      <c r="Q341" t="s">
        <v>76</v>
      </c>
      <c r="R341" t="str">
        <f>TEXT(SalesData[[#This Row],[Order Date]],"mmm")</f>
        <v>Dec</v>
      </c>
      <c r="S341" s="2" t="str">
        <f>"Q"&amp;ROUNDUP(MONTH(SalesData[[#This Row],[Order Date]])/3,0)</f>
        <v>Q4</v>
      </c>
      <c r="T341">
        <f>YEAR(SalesData[[#This Row],[Order Date]])</f>
        <v>2025</v>
      </c>
      <c r="U341">
        <f>SalesData[[#This Row],[Profit]]/SalesData[[#This Row],[Sales]]</f>
        <v>0.17647058823529413</v>
      </c>
    </row>
    <row r="342" spans="1:21" x14ac:dyDescent="0.25">
      <c r="A342" t="s">
        <v>582</v>
      </c>
      <c r="B342" s="1">
        <v>45721</v>
      </c>
      <c r="C342" t="s">
        <v>121</v>
      </c>
      <c r="D342" t="s">
        <v>153</v>
      </c>
      <c r="E342" t="s">
        <v>50</v>
      </c>
      <c r="F342" t="s">
        <v>51</v>
      </c>
      <c r="G342" t="s">
        <v>52</v>
      </c>
      <c r="H342" t="s">
        <v>32</v>
      </c>
      <c r="I342" t="s">
        <v>24</v>
      </c>
      <c r="J342">
        <v>4</v>
      </c>
      <c r="K342">
        <v>3200</v>
      </c>
      <c r="L342">
        <v>0</v>
      </c>
      <c r="M342">
        <v>12800</v>
      </c>
      <c r="N342">
        <v>8960</v>
      </c>
      <c r="O342">
        <v>3840</v>
      </c>
      <c r="P342" t="s">
        <v>40</v>
      </c>
      <c r="Q342" t="s">
        <v>33</v>
      </c>
      <c r="R342" t="str">
        <f>TEXT(SalesData[[#This Row],[Order Date]],"mmm")</f>
        <v>Mar</v>
      </c>
      <c r="S342" s="2" t="str">
        <f>"Q"&amp;ROUNDUP(MONTH(SalesData[[#This Row],[Order Date]])/3,0)</f>
        <v>Q1</v>
      </c>
      <c r="T342">
        <f>YEAR(SalesData[[#This Row],[Order Date]])</f>
        <v>2025</v>
      </c>
      <c r="U342">
        <f>SalesData[[#This Row],[Profit]]/SalesData[[#This Row],[Sales]]</f>
        <v>0.3</v>
      </c>
    </row>
    <row r="343" spans="1:21" x14ac:dyDescent="0.25">
      <c r="A343" t="s">
        <v>583</v>
      </c>
      <c r="B343" s="1">
        <v>45923</v>
      </c>
      <c r="C343" t="s">
        <v>229</v>
      </c>
      <c r="D343" t="s">
        <v>275</v>
      </c>
      <c r="E343" t="s">
        <v>30</v>
      </c>
      <c r="F343" t="s">
        <v>31</v>
      </c>
      <c r="G343" t="s">
        <v>22</v>
      </c>
      <c r="H343" t="s">
        <v>32</v>
      </c>
      <c r="I343" t="s">
        <v>80</v>
      </c>
      <c r="J343">
        <v>6</v>
      </c>
      <c r="K343">
        <v>800</v>
      </c>
      <c r="L343">
        <v>10</v>
      </c>
      <c r="M343">
        <v>4320</v>
      </c>
      <c r="N343">
        <v>3360</v>
      </c>
      <c r="O343">
        <v>960</v>
      </c>
      <c r="P343" t="s">
        <v>58</v>
      </c>
      <c r="Q343" t="s">
        <v>26</v>
      </c>
      <c r="R343" t="str">
        <f>TEXT(SalesData[[#This Row],[Order Date]],"mmm")</f>
        <v>Sep</v>
      </c>
      <c r="S343" s="2" t="str">
        <f>"Q"&amp;ROUNDUP(MONTH(SalesData[[#This Row],[Order Date]])/3,0)</f>
        <v>Q3</v>
      </c>
      <c r="T343">
        <f>YEAR(SalesData[[#This Row],[Order Date]])</f>
        <v>2025</v>
      </c>
      <c r="U343">
        <f>SalesData[[#This Row],[Profit]]/SalesData[[#This Row],[Sales]]</f>
        <v>0.22222222222222221</v>
      </c>
    </row>
    <row r="344" spans="1:21" x14ac:dyDescent="0.25">
      <c r="A344" t="s">
        <v>584</v>
      </c>
      <c r="B344" s="1">
        <v>45930</v>
      </c>
      <c r="C344" t="s">
        <v>203</v>
      </c>
      <c r="D344" t="s">
        <v>275</v>
      </c>
      <c r="E344" t="s">
        <v>70</v>
      </c>
      <c r="F344" t="s">
        <v>71</v>
      </c>
      <c r="G344" t="s">
        <v>22</v>
      </c>
      <c r="H344" t="s">
        <v>46</v>
      </c>
      <c r="I344" t="s">
        <v>66</v>
      </c>
      <c r="J344">
        <v>10</v>
      </c>
      <c r="K344">
        <v>1500</v>
      </c>
      <c r="L344">
        <v>15</v>
      </c>
      <c r="M344">
        <v>12750</v>
      </c>
      <c r="N344">
        <v>10500</v>
      </c>
      <c r="O344">
        <v>2250</v>
      </c>
      <c r="P344" t="s">
        <v>25</v>
      </c>
      <c r="Q344" t="s">
        <v>76</v>
      </c>
      <c r="R344" t="str">
        <f>TEXT(SalesData[[#This Row],[Order Date]],"mmm")</f>
        <v>Sep</v>
      </c>
      <c r="S344" s="2" t="str">
        <f>"Q"&amp;ROUNDUP(MONTH(SalesData[[#This Row],[Order Date]])/3,0)</f>
        <v>Q3</v>
      </c>
      <c r="T344">
        <f>YEAR(SalesData[[#This Row],[Order Date]])</f>
        <v>2025</v>
      </c>
      <c r="U344">
        <f>SalesData[[#This Row],[Profit]]/SalesData[[#This Row],[Sales]]</f>
        <v>0.17647058823529413</v>
      </c>
    </row>
    <row r="345" spans="1:21" x14ac:dyDescent="0.25">
      <c r="A345" t="s">
        <v>585</v>
      </c>
      <c r="B345" s="1">
        <v>45940</v>
      </c>
      <c r="C345" t="s">
        <v>216</v>
      </c>
      <c r="D345" t="s">
        <v>355</v>
      </c>
      <c r="E345" t="s">
        <v>50</v>
      </c>
      <c r="F345" t="s">
        <v>51</v>
      </c>
      <c r="G345" t="s">
        <v>52</v>
      </c>
      <c r="H345" t="s">
        <v>32</v>
      </c>
      <c r="I345" t="s">
        <v>72</v>
      </c>
      <c r="J345">
        <v>6</v>
      </c>
      <c r="K345">
        <v>3200</v>
      </c>
      <c r="L345">
        <v>0</v>
      </c>
      <c r="M345">
        <v>19200</v>
      </c>
      <c r="N345">
        <v>13440</v>
      </c>
      <c r="O345">
        <v>5760</v>
      </c>
      <c r="P345" t="s">
        <v>40</v>
      </c>
      <c r="Q345" t="s">
        <v>26</v>
      </c>
      <c r="R345" t="str">
        <f>TEXT(SalesData[[#This Row],[Order Date]],"mmm")</f>
        <v>Oct</v>
      </c>
      <c r="S345" s="2" t="str">
        <f>"Q"&amp;ROUNDUP(MONTH(SalesData[[#This Row],[Order Date]])/3,0)</f>
        <v>Q4</v>
      </c>
      <c r="T345">
        <f>YEAR(SalesData[[#This Row],[Order Date]])</f>
        <v>2025</v>
      </c>
      <c r="U345">
        <f>SalesData[[#This Row],[Profit]]/SalesData[[#This Row],[Sales]]</f>
        <v>0.3</v>
      </c>
    </row>
    <row r="346" spans="1:21" x14ac:dyDescent="0.25">
      <c r="A346" t="s">
        <v>586</v>
      </c>
      <c r="B346" s="1">
        <v>45852</v>
      </c>
      <c r="C346" t="s">
        <v>280</v>
      </c>
      <c r="D346" t="s">
        <v>183</v>
      </c>
      <c r="E346" t="s">
        <v>20</v>
      </c>
      <c r="F346" t="s">
        <v>21</v>
      </c>
      <c r="G346" t="s">
        <v>22</v>
      </c>
      <c r="H346" t="s">
        <v>23</v>
      </c>
      <c r="I346" t="s">
        <v>24</v>
      </c>
      <c r="J346">
        <v>9</v>
      </c>
      <c r="K346">
        <v>3500</v>
      </c>
      <c r="L346">
        <v>0</v>
      </c>
      <c r="M346">
        <v>31500</v>
      </c>
      <c r="N346">
        <v>22050</v>
      </c>
      <c r="O346">
        <v>9450</v>
      </c>
      <c r="P346" t="s">
        <v>54</v>
      </c>
      <c r="Q346" t="s">
        <v>26</v>
      </c>
      <c r="R346" t="str">
        <f>TEXT(SalesData[[#This Row],[Order Date]],"mmm")</f>
        <v>Jul</v>
      </c>
      <c r="S346" s="2" t="str">
        <f>"Q"&amp;ROUNDUP(MONTH(SalesData[[#This Row],[Order Date]])/3,0)</f>
        <v>Q3</v>
      </c>
      <c r="T346">
        <f>YEAR(SalesData[[#This Row],[Order Date]])</f>
        <v>2025</v>
      </c>
      <c r="U346">
        <f>SalesData[[#This Row],[Profit]]/SalesData[[#This Row],[Sales]]</f>
        <v>0.3</v>
      </c>
    </row>
    <row r="347" spans="1:21" x14ac:dyDescent="0.25">
      <c r="A347" t="s">
        <v>587</v>
      </c>
      <c r="B347" s="1">
        <v>45833</v>
      </c>
      <c r="C347" t="s">
        <v>78</v>
      </c>
      <c r="D347" t="s">
        <v>29</v>
      </c>
      <c r="E347" t="s">
        <v>50</v>
      </c>
      <c r="F347" t="s">
        <v>51</v>
      </c>
      <c r="G347" t="s">
        <v>52</v>
      </c>
      <c r="H347" t="s">
        <v>23</v>
      </c>
      <c r="I347" t="s">
        <v>80</v>
      </c>
      <c r="J347">
        <v>3</v>
      </c>
      <c r="K347">
        <v>3200</v>
      </c>
      <c r="L347">
        <v>15</v>
      </c>
      <c r="M347">
        <v>8160</v>
      </c>
      <c r="N347">
        <v>6720</v>
      </c>
      <c r="O347">
        <v>1440</v>
      </c>
      <c r="P347" t="s">
        <v>25</v>
      </c>
      <c r="Q347" t="s">
        <v>76</v>
      </c>
      <c r="R347" t="str">
        <f>TEXT(SalesData[[#This Row],[Order Date]],"mmm")</f>
        <v>Jun</v>
      </c>
      <c r="S347" s="2" t="str">
        <f>"Q"&amp;ROUNDUP(MONTH(SalesData[[#This Row],[Order Date]])/3,0)</f>
        <v>Q2</v>
      </c>
      <c r="T347">
        <f>YEAR(SalesData[[#This Row],[Order Date]])</f>
        <v>2025</v>
      </c>
      <c r="U347">
        <f>SalesData[[#This Row],[Profit]]/SalesData[[#This Row],[Sales]]</f>
        <v>0.17647058823529413</v>
      </c>
    </row>
    <row r="348" spans="1:21" x14ac:dyDescent="0.25">
      <c r="A348" t="s">
        <v>588</v>
      </c>
      <c r="B348" s="1">
        <v>45971</v>
      </c>
      <c r="C348" t="s">
        <v>448</v>
      </c>
      <c r="D348" t="s">
        <v>174</v>
      </c>
      <c r="E348" t="s">
        <v>44</v>
      </c>
      <c r="F348" t="s">
        <v>45</v>
      </c>
      <c r="G348" t="s">
        <v>22</v>
      </c>
      <c r="H348" t="s">
        <v>46</v>
      </c>
      <c r="I348" t="s">
        <v>66</v>
      </c>
      <c r="J348">
        <v>4</v>
      </c>
      <c r="K348">
        <v>9500</v>
      </c>
      <c r="L348">
        <v>10</v>
      </c>
      <c r="M348">
        <v>34200</v>
      </c>
      <c r="N348">
        <v>26600</v>
      </c>
      <c r="O348">
        <v>7600</v>
      </c>
      <c r="P348" t="s">
        <v>54</v>
      </c>
      <c r="Q348" t="s">
        <v>26</v>
      </c>
      <c r="R348" t="str">
        <f>TEXT(SalesData[[#This Row],[Order Date]],"mmm")</f>
        <v>Nov</v>
      </c>
      <c r="S348" s="2" t="str">
        <f>"Q"&amp;ROUNDUP(MONTH(SalesData[[#This Row],[Order Date]])/3,0)</f>
        <v>Q4</v>
      </c>
      <c r="T348">
        <f>YEAR(SalesData[[#This Row],[Order Date]])</f>
        <v>2025</v>
      </c>
      <c r="U348">
        <f>SalesData[[#This Row],[Profit]]/SalesData[[#This Row],[Sales]]</f>
        <v>0.22222222222222221</v>
      </c>
    </row>
    <row r="349" spans="1:21" x14ac:dyDescent="0.25">
      <c r="A349" t="s">
        <v>589</v>
      </c>
      <c r="B349" s="1">
        <v>45946</v>
      </c>
      <c r="C349" t="s">
        <v>173</v>
      </c>
      <c r="D349" t="s">
        <v>420</v>
      </c>
      <c r="E349" t="s">
        <v>62</v>
      </c>
      <c r="F349" t="s">
        <v>63</v>
      </c>
      <c r="G349" t="s">
        <v>64</v>
      </c>
      <c r="H349" t="s">
        <v>46</v>
      </c>
      <c r="I349" t="s">
        <v>39</v>
      </c>
      <c r="J349">
        <v>2</v>
      </c>
      <c r="K349">
        <v>8500</v>
      </c>
      <c r="L349">
        <v>5</v>
      </c>
      <c r="M349">
        <v>16150</v>
      </c>
      <c r="N349">
        <v>11900</v>
      </c>
      <c r="O349">
        <v>4250</v>
      </c>
      <c r="P349" t="s">
        <v>54</v>
      </c>
      <c r="Q349" t="s">
        <v>76</v>
      </c>
      <c r="R349" t="str">
        <f>TEXT(SalesData[[#This Row],[Order Date]],"mmm")</f>
        <v>Oct</v>
      </c>
      <c r="S349" s="2" t="str">
        <f>"Q"&amp;ROUNDUP(MONTH(SalesData[[#This Row],[Order Date]])/3,0)</f>
        <v>Q4</v>
      </c>
      <c r="T349">
        <f>YEAR(SalesData[[#This Row],[Order Date]])</f>
        <v>2025</v>
      </c>
      <c r="U349">
        <f>SalesData[[#This Row],[Profit]]/SalesData[[#This Row],[Sales]]</f>
        <v>0.26315789473684209</v>
      </c>
    </row>
    <row r="350" spans="1:21" x14ac:dyDescent="0.25">
      <c r="A350" t="s">
        <v>590</v>
      </c>
      <c r="B350" s="1">
        <v>45719</v>
      </c>
      <c r="C350" t="s">
        <v>471</v>
      </c>
      <c r="D350" t="s">
        <v>420</v>
      </c>
      <c r="E350" t="s">
        <v>44</v>
      </c>
      <c r="F350" t="s">
        <v>45</v>
      </c>
      <c r="G350" t="s">
        <v>22</v>
      </c>
      <c r="H350" t="s">
        <v>23</v>
      </c>
      <c r="I350" t="s">
        <v>66</v>
      </c>
      <c r="J350">
        <v>2</v>
      </c>
      <c r="K350">
        <v>9500</v>
      </c>
      <c r="L350">
        <v>0</v>
      </c>
      <c r="M350">
        <v>19000</v>
      </c>
      <c r="N350">
        <v>13300</v>
      </c>
      <c r="O350">
        <v>5700</v>
      </c>
      <c r="P350" t="s">
        <v>58</v>
      </c>
      <c r="Q350" t="s">
        <v>33</v>
      </c>
      <c r="R350" t="str">
        <f>TEXT(SalesData[[#This Row],[Order Date]],"mmm")</f>
        <v>Mar</v>
      </c>
      <c r="S350" s="2" t="str">
        <f>"Q"&amp;ROUNDUP(MONTH(SalesData[[#This Row],[Order Date]])/3,0)</f>
        <v>Q1</v>
      </c>
      <c r="T350">
        <f>YEAR(SalesData[[#This Row],[Order Date]])</f>
        <v>2025</v>
      </c>
      <c r="U350">
        <f>SalesData[[#This Row],[Profit]]/SalesData[[#This Row],[Sales]]</f>
        <v>0.3</v>
      </c>
    </row>
    <row r="351" spans="1:21" x14ac:dyDescent="0.25">
      <c r="A351" t="s">
        <v>591</v>
      </c>
      <c r="B351" s="1">
        <v>45695</v>
      </c>
      <c r="C351" t="s">
        <v>159</v>
      </c>
      <c r="D351" t="s">
        <v>179</v>
      </c>
      <c r="E351" t="s">
        <v>70</v>
      </c>
      <c r="F351" t="s">
        <v>71</v>
      </c>
      <c r="G351" t="s">
        <v>22</v>
      </c>
      <c r="H351" t="s">
        <v>32</v>
      </c>
      <c r="I351" t="s">
        <v>24</v>
      </c>
      <c r="J351">
        <v>10</v>
      </c>
      <c r="K351">
        <v>1500</v>
      </c>
      <c r="L351">
        <v>10</v>
      </c>
      <c r="M351">
        <v>13500</v>
      </c>
      <c r="N351">
        <v>10500</v>
      </c>
      <c r="O351">
        <v>3000</v>
      </c>
      <c r="P351" t="s">
        <v>40</v>
      </c>
      <c r="Q351" t="s">
        <v>26</v>
      </c>
      <c r="R351" t="str">
        <f>TEXT(SalesData[[#This Row],[Order Date]],"mmm")</f>
        <v>Feb</v>
      </c>
      <c r="S351" s="2" t="str">
        <f>"Q"&amp;ROUNDUP(MONTH(SalesData[[#This Row],[Order Date]])/3,0)</f>
        <v>Q1</v>
      </c>
      <c r="T351">
        <f>YEAR(SalesData[[#This Row],[Order Date]])</f>
        <v>2025</v>
      </c>
      <c r="U351">
        <f>SalesData[[#This Row],[Profit]]/SalesData[[#This Row],[Sales]]</f>
        <v>0.22222222222222221</v>
      </c>
    </row>
    <row r="352" spans="1:21" x14ac:dyDescent="0.25">
      <c r="A352" t="s">
        <v>592</v>
      </c>
      <c r="B352" s="1">
        <v>45908</v>
      </c>
      <c r="C352" t="s">
        <v>203</v>
      </c>
      <c r="D352" t="s">
        <v>191</v>
      </c>
      <c r="E352" t="s">
        <v>30</v>
      </c>
      <c r="F352" t="s">
        <v>31</v>
      </c>
      <c r="G352" t="s">
        <v>22</v>
      </c>
      <c r="H352" t="s">
        <v>46</v>
      </c>
      <c r="I352" t="s">
        <v>80</v>
      </c>
      <c r="J352">
        <v>4</v>
      </c>
      <c r="K352">
        <v>800</v>
      </c>
      <c r="L352">
        <v>20</v>
      </c>
      <c r="M352">
        <v>2560</v>
      </c>
      <c r="N352">
        <v>2240</v>
      </c>
      <c r="O352">
        <v>320</v>
      </c>
      <c r="P352" t="s">
        <v>40</v>
      </c>
      <c r="Q352" t="s">
        <v>76</v>
      </c>
      <c r="R352" t="str">
        <f>TEXT(SalesData[[#This Row],[Order Date]],"mmm")</f>
        <v>Sep</v>
      </c>
      <c r="S352" s="2" t="str">
        <f>"Q"&amp;ROUNDUP(MONTH(SalesData[[#This Row],[Order Date]])/3,0)</f>
        <v>Q3</v>
      </c>
      <c r="T352">
        <f>YEAR(SalesData[[#This Row],[Order Date]])</f>
        <v>2025</v>
      </c>
      <c r="U352">
        <f>SalesData[[#This Row],[Profit]]/SalesData[[#This Row],[Sales]]</f>
        <v>0.125</v>
      </c>
    </row>
    <row r="353" spans="1:21" x14ac:dyDescent="0.25">
      <c r="A353" t="s">
        <v>593</v>
      </c>
      <c r="B353" s="1">
        <v>45670</v>
      </c>
      <c r="C353" t="s">
        <v>212</v>
      </c>
      <c r="D353" t="s">
        <v>444</v>
      </c>
      <c r="E353" t="s">
        <v>44</v>
      </c>
      <c r="F353" t="s">
        <v>45</v>
      </c>
      <c r="G353" t="s">
        <v>22</v>
      </c>
      <c r="H353" t="s">
        <v>23</v>
      </c>
      <c r="I353" t="s">
        <v>39</v>
      </c>
      <c r="J353">
        <v>7</v>
      </c>
      <c r="K353">
        <v>9500</v>
      </c>
      <c r="L353">
        <v>5</v>
      </c>
      <c r="M353">
        <v>63175</v>
      </c>
      <c r="N353">
        <v>46550</v>
      </c>
      <c r="O353">
        <v>16625</v>
      </c>
      <c r="P353" t="s">
        <v>25</v>
      </c>
      <c r="Q353" t="s">
        <v>33</v>
      </c>
      <c r="R353" t="str">
        <f>TEXT(SalesData[[#This Row],[Order Date]],"mmm")</f>
        <v>Jan</v>
      </c>
      <c r="S353" s="2" t="str">
        <f>"Q"&amp;ROUNDUP(MONTH(SalesData[[#This Row],[Order Date]])/3,0)</f>
        <v>Q1</v>
      </c>
      <c r="T353">
        <f>YEAR(SalesData[[#This Row],[Order Date]])</f>
        <v>2025</v>
      </c>
      <c r="U353">
        <f>SalesData[[#This Row],[Profit]]/SalesData[[#This Row],[Sales]]</f>
        <v>0.26315789473684209</v>
      </c>
    </row>
    <row r="354" spans="1:21" x14ac:dyDescent="0.25">
      <c r="A354" t="s">
        <v>594</v>
      </c>
      <c r="B354" s="1">
        <v>45753</v>
      </c>
      <c r="C354" t="s">
        <v>469</v>
      </c>
      <c r="D354" t="s">
        <v>69</v>
      </c>
      <c r="E354" t="s">
        <v>20</v>
      </c>
      <c r="F354" t="s">
        <v>21</v>
      </c>
      <c r="G354" t="s">
        <v>22</v>
      </c>
      <c r="H354" t="s">
        <v>32</v>
      </c>
      <c r="I354" t="s">
        <v>53</v>
      </c>
      <c r="J354">
        <v>2</v>
      </c>
      <c r="K354">
        <v>3500</v>
      </c>
      <c r="L354">
        <v>5</v>
      </c>
      <c r="M354">
        <v>6650</v>
      </c>
      <c r="N354">
        <v>4900</v>
      </c>
      <c r="O354">
        <v>1750</v>
      </c>
      <c r="P354" t="s">
        <v>40</v>
      </c>
      <c r="Q354" t="s">
        <v>33</v>
      </c>
      <c r="R354" t="str">
        <f>TEXT(SalesData[[#This Row],[Order Date]],"mmm")</f>
        <v>Apr</v>
      </c>
      <c r="S354" s="2" t="str">
        <f>"Q"&amp;ROUNDUP(MONTH(SalesData[[#This Row],[Order Date]])/3,0)</f>
        <v>Q2</v>
      </c>
      <c r="T354">
        <f>YEAR(SalesData[[#This Row],[Order Date]])</f>
        <v>2025</v>
      </c>
      <c r="U354">
        <f>SalesData[[#This Row],[Profit]]/SalesData[[#This Row],[Sales]]</f>
        <v>0.26315789473684209</v>
      </c>
    </row>
    <row r="355" spans="1:21" x14ac:dyDescent="0.25">
      <c r="A355" t="s">
        <v>595</v>
      </c>
      <c r="B355" s="1">
        <v>45744</v>
      </c>
      <c r="C355" t="s">
        <v>376</v>
      </c>
      <c r="D355" t="s">
        <v>83</v>
      </c>
      <c r="E355" t="s">
        <v>30</v>
      </c>
      <c r="F355" t="s">
        <v>31</v>
      </c>
      <c r="G355" t="s">
        <v>22</v>
      </c>
      <c r="H355" t="s">
        <v>65</v>
      </c>
      <c r="I355" t="s">
        <v>24</v>
      </c>
      <c r="J355">
        <v>3</v>
      </c>
      <c r="K355">
        <v>800</v>
      </c>
      <c r="L355">
        <v>5</v>
      </c>
      <c r="M355">
        <v>2280</v>
      </c>
      <c r="N355">
        <v>1680</v>
      </c>
      <c r="O355">
        <v>600</v>
      </c>
      <c r="P355" t="s">
        <v>40</v>
      </c>
      <c r="Q355" t="s">
        <v>33</v>
      </c>
      <c r="R355" t="str">
        <f>TEXT(SalesData[[#This Row],[Order Date]],"mmm")</f>
        <v>Mar</v>
      </c>
      <c r="S355" s="2" t="str">
        <f>"Q"&amp;ROUNDUP(MONTH(SalesData[[#This Row],[Order Date]])/3,0)</f>
        <v>Q1</v>
      </c>
      <c r="T355">
        <f>YEAR(SalesData[[#This Row],[Order Date]])</f>
        <v>2025</v>
      </c>
      <c r="U355">
        <f>SalesData[[#This Row],[Profit]]/SalesData[[#This Row],[Sales]]</f>
        <v>0.26315789473684209</v>
      </c>
    </row>
    <row r="356" spans="1:21" x14ac:dyDescent="0.25">
      <c r="A356" t="s">
        <v>596</v>
      </c>
      <c r="B356" s="1">
        <v>45769</v>
      </c>
      <c r="C356" t="s">
        <v>212</v>
      </c>
      <c r="D356" t="s">
        <v>350</v>
      </c>
      <c r="E356" t="s">
        <v>37</v>
      </c>
      <c r="F356" t="s">
        <v>38</v>
      </c>
      <c r="G356" t="s">
        <v>22</v>
      </c>
      <c r="H356" t="s">
        <v>32</v>
      </c>
      <c r="I356" t="s">
        <v>24</v>
      </c>
      <c r="J356">
        <v>10</v>
      </c>
      <c r="K356">
        <v>55000</v>
      </c>
      <c r="L356">
        <v>20</v>
      </c>
      <c r="M356">
        <v>440000</v>
      </c>
      <c r="N356">
        <v>385000</v>
      </c>
      <c r="O356">
        <v>55000</v>
      </c>
      <c r="P356" t="s">
        <v>40</v>
      </c>
      <c r="Q356" t="s">
        <v>76</v>
      </c>
      <c r="R356" t="str">
        <f>TEXT(SalesData[[#This Row],[Order Date]],"mmm")</f>
        <v>Apr</v>
      </c>
      <c r="S356" s="2" t="str">
        <f>"Q"&amp;ROUNDUP(MONTH(SalesData[[#This Row],[Order Date]])/3,0)</f>
        <v>Q2</v>
      </c>
      <c r="T356">
        <f>YEAR(SalesData[[#This Row],[Order Date]])</f>
        <v>2025</v>
      </c>
      <c r="U356">
        <f>SalesData[[#This Row],[Profit]]/SalesData[[#This Row],[Sales]]</f>
        <v>0.125</v>
      </c>
    </row>
    <row r="357" spans="1:21" x14ac:dyDescent="0.25">
      <c r="A357" t="s">
        <v>597</v>
      </c>
      <c r="B357" s="1">
        <v>45990</v>
      </c>
      <c r="C357" t="s">
        <v>195</v>
      </c>
      <c r="D357" t="s">
        <v>130</v>
      </c>
      <c r="E357" t="s">
        <v>37</v>
      </c>
      <c r="F357" t="s">
        <v>38</v>
      </c>
      <c r="G357" t="s">
        <v>22</v>
      </c>
      <c r="H357" t="s">
        <v>32</v>
      </c>
      <c r="I357" t="s">
        <v>80</v>
      </c>
      <c r="J357">
        <v>7</v>
      </c>
      <c r="K357">
        <v>55000</v>
      </c>
      <c r="L357">
        <v>5</v>
      </c>
      <c r="M357">
        <v>365750</v>
      </c>
      <c r="N357">
        <v>269500</v>
      </c>
      <c r="O357">
        <v>96250</v>
      </c>
      <c r="P357" t="s">
        <v>40</v>
      </c>
      <c r="Q357" t="s">
        <v>26</v>
      </c>
      <c r="R357" t="str">
        <f>TEXT(SalesData[[#This Row],[Order Date]],"mmm")</f>
        <v>Nov</v>
      </c>
      <c r="S357" s="2" t="str">
        <f>"Q"&amp;ROUNDUP(MONTH(SalesData[[#This Row],[Order Date]])/3,0)</f>
        <v>Q4</v>
      </c>
      <c r="T357">
        <f>YEAR(SalesData[[#This Row],[Order Date]])</f>
        <v>2025</v>
      </c>
      <c r="U357">
        <f>SalesData[[#This Row],[Profit]]/SalesData[[#This Row],[Sales]]</f>
        <v>0.26315789473684209</v>
      </c>
    </row>
    <row r="358" spans="1:21" x14ac:dyDescent="0.25">
      <c r="A358" t="s">
        <v>598</v>
      </c>
      <c r="B358" s="1">
        <v>45750</v>
      </c>
      <c r="C358" t="s">
        <v>190</v>
      </c>
      <c r="D358" t="s">
        <v>230</v>
      </c>
      <c r="E358" t="s">
        <v>37</v>
      </c>
      <c r="F358" t="s">
        <v>38</v>
      </c>
      <c r="G358" t="s">
        <v>22</v>
      </c>
      <c r="H358" t="s">
        <v>46</v>
      </c>
      <c r="I358" t="s">
        <v>53</v>
      </c>
      <c r="J358">
        <v>2</v>
      </c>
      <c r="K358">
        <v>55000</v>
      </c>
      <c r="L358">
        <v>5</v>
      </c>
      <c r="M358">
        <v>104500</v>
      </c>
      <c r="N358">
        <v>77000</v>
      </c>
      <c r="O358">
        <v>27500</v>
      </c>
      <c r="P358" t="s">
        <v>25</v>
      </c>
      <c r="Q358" t="s">
        <v>33</v>
      </c>
      <c r="R358" t="str">
        <f>TEXT(SalesData[[#This Row],[Order Date]],"mmm")</f>
        <v>Apr</v>
      </c>
      <c r="S358" s="2" t="str">
        <f>"Q"&amp;ROUNDUP(MONTH(SalesData[[#This Row],[Order Date]])/3,0)</f>
        <v>Q2</v>
      </c>
      <c r="T358">
        <f>YEAR(SalesData[[#This Row],[Order Date]])</f>
        <v>2025</v>
      </c>
      <c r="U358">
        <f>SalesData[[#This Row],[Profit]]/SalesData[[#This Row],[Sales]]</f>
        <v>0.26315789473684209</v>
      </c>
    </row>
    <row r="359" spans="1:21" x14ac:dyDescent="0.25">
      <c r="A359" t="s">
        <v>599</v>
      </c>
      <c r="B359" s="1">
        <v>45827</v>
      </c>
      <c r="C359" t="s">
        <v>315</v>
      </c>
      <c r="D359" t="s">
        <v>183</v>
      </c>
      <c r="E359" t="s">
        <v>93</v>
      </c>
      <c r="F359" t="s">
        <v>94</v>
      </c>
      <c r="G359" t="s">
        <v>64</v>
      </c>
      <c r="H359" t="s">
        <v>32</v>
      </c>
      <c r="I359" t="s">
        <v>24</v>
      </c>
      <c r="J359">
        <v>9</v>
      </c>
      <c r="K359">
        <v>4500</v>
      </c>
      <c r="L359">
        <v>10</v>
      </c>
      <c r="M359">
        <v>36450</v>
      </c>
      <c r="N359">
        <v>28350</v>
      </c>
      <c r="O359">
        <v>8100</v>
      </c>
      <c r="P359" t="s">
        <v>58</v>
      </c>
      <c r="Q359" t="s">
        <v>33</v>
      </c>
      <c r="R359" t="str">
        <f>TEXT(SalesData[[#This Row],[Order Date]],"mmm")</f>
        <v>Jun</v>
      </c>
      <c r="S359" s="2" t="str">
        <f>"Q"&amp;ROUNDUP(MONTH(SalesData[[#This Row],[Order Date]])/3,0)</f>
        <v>Q2</v>
      </c>
      <c r="T359">
        <f>YEAR(SalesData[[#This Row],[Order Date]])</f>
        <v>2025</v>
      </c>
      <c r="U359">
        <f>SalesData[[#This Row],[Profit]]/SalesData[[#This Row],[Sales]]</f>
        <v>0.22222222222222221</v>
      </c>
    </row>
    <row r="360" spans="1:21" x14ac:dyDescent="0.25">
      <c r="A360" t="s">
        <v>600</v>
      </c>
      <c r="B360" s="1">
        <v>45767</v>
      </c>
      <c r="C360" t="s">
        <v>221</v>
      </c>
      <c r="D360" t="s">
        <v>240</v>
      </c>
      <c r="E360" t="s">
        <v>70</v>
      </c>
      <c r="F360" t="s">
        <v>71</v>
      </c>
      <c r="G360" t="s">
        <v>22</v>
      </c>
      <c r="H360" t="s">
        <v>46</v>
      </c>
      <c r="I360" t="s">
        <v>80</v>
      </c>
      <c r="J360">
        <v>1</v>
      </c>
      <c r="K360">
        <v>1500</v>
      </c>
      <c r="L360">
        <v>5</v>
      </c>
      <c r="M360">
        <v>1425</v>
      </c>
      <c r="N360">
        <v>1050</v>
      </c>
      <c r="O360">
        <v>375</v>
      </c>
      <c r="P360" t="s">
        <v>40</v>
      </c>
      <c r="Q360" t="s">
        <v>33</v>
      </c>
      <c r="R360" t="str">
        <f>TEXT(SalesData[[#This Row],[Order Date]],"mmm")</f>
        <v>Apr</v>
      </c>
      <c r="S360" s="2" t="str">
        <f>"Q"&amp;ROUNDUP(MONTH(SalesData[[#This Row],[Order Date]])/3,0)</f>
        <v>Q2</v>
      </c>
      <c r="T360">
        <f>YEAR(SalesData[[#This Row],[Order Date]])</f>
        <v>2025</v>
      </c>
      <c r="U360">
        <f>SalesData[[#This Row],[Profit]]/SalesData[[#This Row],[Sales]]</f>
        <v>0.26315789473684209</v>
      </c>
    </row>
    <row r="361" spans="1:21" x14ac:dyDescent="0.25">
      <c r="A361" t="s">
        <v>601</v>
      </c>
      <c r="B361" s="1">
        <v>45836</v>
      </c>
      <c r="C361" t="s">
        <v>18</v>
      </c>
      <c r="D361" t="s">
        <v>183</v>
      </c>
      <c r="E361" t="s">
        <v>37</v>
      </c>
      <c r="F361" t="s">
        <v>38</v>
      </c>
      <c r="G361" t="s">
        <v>22</v>
      </c>
      <c r="H361" t="s">
        <v>46</v>
      </c>
      <c r="I361" t="s">
        <v>72</v>
      </c>
      <c r="J361">
        <v>7</v>
      </c>
      <c r="K361">
        <v>55000</v>
      </c>
      <c r="L361">
        <v>0</v>
      </c>
      <c r="M361">
        <v>385000</v>
      </c>
      <c r="N361">
        <v>269500</v>
      </c>
      <c r="O361">
        <v>115500</v>
      </c>
      <c r="P361" t="s">
        <v>54</v>
      </c>
      <c r="Q361" t="s">
        <v>26</v>
      </c>
      <c r="R361" t="str">
        <f>TEXT(SalesData[[#This Row],[Order Date]],"mmm")</f>
        <v>Jun</v>
      </c>
      <c r="S361" s="2" t="str">
        <f>"Q"&amp;ROUNDUP(MONTH(SalesData[[#This Row],[Order Date]])/3,0)</f>
        <v>Q2</v>
      </c>
      <c r="T361">
        <f>YEAR(SalesData[[#This Row],[Order Date]])</f>
        <v>2025</v>
      </c>
      <c r="U361">
        <f>SalesData[[#This Row],[Profit]]/SalesData[[#This Row],[Sales]]</f>
        <v>0.3</v>
      </c>
    </row>
    <row r="362" spans="1:21" x14ac:dyDescent="0.25">
      <c r="A362" t="s">
        <v>602</v>
      </c>
      <c r="B362" s="1">
        <v>45842</v>
      </c>
      <c r="C362" t="s">
        <v>135</v>
      </c>
      <c r="D362" t="s">
        <v>389</v>
      </c>
      <c r="E362" t="s">
        <v>20</v>
      </c>
      <c r="F362" t="s">
        <v>21</v>
      </c>
      <c r="G362" t="s">
        <v>22</v>
      </c>
      <c r="H362" t="s">
        <v>32</v>
      </c>
      <c r="I362" t="s">
        <v>39</v>
      </c>
      <c r="J362">
        <v>1</v>
      </c>
      <c r="K362">
        <v>3500</v>
      </c>
      <c r="L362">
        <v>15</v>
      </c>
      <c r="M362">
        <v>2975</v>
      </c>
      <c r="N362">
        <v>2450</v>
      </c>
      <c r="O362">
        <v>525</v>
      </c>
      <c r="P362" t="s">
        <v>54</v>
      </c>
      <c r="Q362" t="s">
        <v>76</v>
      </c>
      <c r="R362" t="str">
        <f>TEXT(SalesData[[#This Row],[Order Date]],"mmm")</f>
        <v>Jul</v>
      </c>
      <c r="S362" s="2" t="str">
        <f>"Q"&amp;ROUNDUP(MONTH(SalesData[[#This Row],[Order Date]])/3,0)</f>
        <v>Q3</v>
      </c>
      <c r="T362">
        <f>YEAR(SalesData[[#This Row],[Order Date]])</f>
        <v>2025</v>
      </c>
      <c r="U362">
        <f>SalesData[[#This Row],[Profit]]/SalesData[[#This Row],[Sales]]</f>
        <v>0.17647058823529413</v>
      </c>
    </row>
    <row r="363" spans="1:21" x14ac:dyDescent="0.25">
      <c r="A363" t="s">
        <v>603</v>
      </c>
      <c r="B363" s="1">
        <v>45722</v>
      </c>
      <c r="C363" t="s">
        <v>367</v>
      </c>
      <c r="D363" t="s">
        <v>75</v>
      </c>
      <c r="E363" t="s">
        <v>20</v>
      </c>
      <c r="F363" t="s">
        <v>21</v>
      </c>
      <c r="G363" t="s">
        <v>22</v>
      </c>
      <c r="H363" t="s">
        <v>23</v>
      </c>
      <c r="I363" t="s">
        <v>80</v>
      </c>
      <c r="J363">
        <v>4</v>
      </c>
      <c r="K363">
        <v>3500</v>
      </c>
      <c r="L363">
        <v>20</v>
      </c>
      <c r="M363">
        <v>11200</v>
      </c>
      <c r="N363">
        <v>9800</v>
      </c>
      <c r="O363">
        <v>1400</v>
      </c>
      <c r="P363" t="s">
        <v>40</v>
      </c>
      <c r="Q363" t="s">
        <v>26</v>
      </c>
      <c r="R363" t="str">
        <f>TEXT(SalesData[[#This Row],[Order Date]],"mmm")</f>
        <v>Mar</v>
      </c>
      <c r="S363" s="2" t="str">
        <f>"Q"&amp;ROUNDUP(MONTH(SalesData[[#This Row],[Order Date]])/3,0)</f>
        <v>Q1</v>
      </c>
      <c r="T363">
        <f>YEAR(SalesData[[#This Row],[Order Date]])</f>
        <v>2025</v>
      </c>
      <c r="U363">
        <f>SalesData[[#This Row],[Profit]]/SalesData[[#This Row],[Sales]]</f>
        <v>0.125</v>
      </c>
    </row>
    <row r="364" spans="1:21" x14ac:dyDescent="0.25">
      <c r="A364" t="s">
        <v>604</v>
      </c>
      <c r="B364" s="1">
        <v>46015</v>
      </c>
      <c r="C364" t="s">
        <v>105</v>
      </c>
      <c r="D364" t="s">
        <v>128</v>
      </c>
      <c r="E364" t="s">
        <v>30</v>
      </c>
      <c r="F364" t="s">
        <v>31</v>
      </c>
      <c r="G364" t="s">
        <v>22</v>
      </c>
      <c r="H364" t="s">
        <v>23</v>
      </c>
      <c r="I364" t="s">
        <v>72</v>
      </c>
      <c r="J364">
        <v>1</v>
      </c>
      <c r="K364">
        <v>800</v>
      </c>
      <c r="L364">
        <v>15</v>
      </c>
      <c r="M364">
        <v>680</v>
      </c>
      <c r="N364">
        <v>560</v>
      </c>
      <c r="O364">
        <v>120</v>
      </c>
      <c r="P364" t="s">
        <v>58</v>
      </c>
      <c r="Q364" t="s">
        <v>26</v>
      </c>
      <c r="R364" t="str">
        <f>TEXT(SalesData[[#This Row],[Order Date]],"mmm")</f>
        <v>Dec</v>
      </c>
      <c r="S364" s="2" t="str">
        <f>"Q"&amp;ROUNDUP(MONTH(SalesData[[#This Row],[Order Date]])/3,0)</f>
        <v>Q4</v>
      </c>
      <c r="T364">
        <f>YEAR(SalesData[[#This Row],[Order Date]])</f>
        <v>2025</v>
      </c>
      <c r="U364">
        <f>SalesData[[#This Row],[Profit]]/SalesData[[#This Row],[Sales]]</f>
        <v>0.17647058823529413</v>
      </c>
    </row>
    <row r="365" spans="1:21" x14ac:dyDescent="0.25">
      <c r="A365" t="s">
        <v>605</v>
      </c>
      <c r="B365" s="1">
        <v>45987</v>
      </c>
      <c r="C365" t="s">
        <v>28</v>
      </c>
      <c r="D365" t="s">
        <v>606</v>
      </c>
      <c r="E365" t="s">
        <v>50</v>
      </c>
      <c r="F365" t="s">
        <v>51</v>
      </c>
      <c r="G365" t="s">
        <v>52</v>
      </c>
      <c r="H365" t="s">
        <v>23</v>
      </c>
      <c r="I365" t="s">
        <v>66</v>
      </c>
      <c r="J365">
        <v>10</v>
      </c>
      <c r="K365">
        <v>3200</v>
      </c>
      <c r="L365">
        <v>15</v>
      </c>
      <c r="M365">
        <v>27200</v>
      </c>
      <c r="N365">
        <v>22400</v>
      </c>
      <c r="O365">
        <v>4800</v>
      </c>
      <c r="P365" t="s">
        <v>54</v>
      </c>
      <c r="Q365" t="s">
        <v>76</v>
      </c>
      <c r="R365" t="str">
        <f>TEXT(SalesData[[#This Row],[Order Date]],"mmm")</f>
        <v>Nov</v>
      </c>
      <c r="S365" s="2" t="str">
        <f>"Q"&amp;ROUNDUP(MONTH(SalesData[[#This Row],[Order Date]])/3,0)</f>
        <v>Q4</v>
      </c>
      <c r="T365">
        <f>YEAR(SalesData[[#This Row],[Order Date]])</f>
        <v>2025</v>
      </c>
      <c r="U365">
        <f>SalesData[[#This Row],[Profit]]/SalesData[[#This Row],[Sales]]</f>
        <v>0.17647058823529413</v>
      </c>
    </row>
    <row r="366" spans="1:21" x14ac:dyDescent="0.25">
      <c r="A366" t="s">
        <v>607</v>
      </c>
      <c r="B366" s="1">
        <v>45808</v>
      </c>
      <c r="C366" t="s">
        <v>203</v>
      </c>
      <c r="D366" t="s">
        <v>113</v>
      </c>
      <c r="E366" t="s">
        <v>37</v>
      </c>
      <c r="F366" t="s">
        <v>38</v>
      </c>
      <c r="G366" t="s">
        <v>22</v>
      </c>
      <c r="H366" t="s">
        <v>23</v>
      </c>
      <c r="I366" t="s">
        <v>66</v>
      </c>
      <c r="J366">
        <v>8</v>
      </c>
      <c r="K366">
        <v>55000</v>
      </c>
      <c r="L366">
        <v>10</v>
      </c>
      <c r="M366">
        <v>396000</v>
      </c>
      <c r="N366">
        <v>308000</v>
      </c>
      <c r="O366">
        <v>88000</v>
      </c>
      <c r="P366" t="s">
        <v>54</v>
      </c>
      <c r="Q366" t="s">
        <v>26</v>
      </c>
      <c r="R366" t="str">
        <f>TEXT(SalesData[[#This Row],[Order Date]],"mmm")</f>
        <v>May</v>
      </c>
      <c r="S366" s="2" t="str">
        <f>"Q"&amp;ROUNDUP(MONTH(SalesData[[#This Row],[Order Date]])/3,0)</f>
        <v>Q2</v>
      </c>
      <c r="T366">
        <f>YEAR(SalesData[[#This Row],[Order Date]])</f>
        <v>2025</v>
      </c>
      <c r="U366">
        <f>SalesData[[#This Row],[Profit]]/SalesData[[#This Row],[Sales]]</f>
        <v>0.22222222222222221</v>
      </c>
    </row>
    <row r="367" spans="1:21" x14ac:dyDescent="0.25">
      <c r="A367" t="s">
        <v>608</v>
      </c>
      <c r="B367" s="1">
        <v>45870</v>
      </c>
      <c r="C367" t="s">
        <v>315</v>
      </c>
      <c r="D367" t="s">
        <v>113</v>
      </c>
      <c r="E367" t="s">
        <v>50</v>
      </c>
      <c r="F367" t="s">
        <v>51</v>
      </c>
      <c r="G367" t="s">
        <v>52</v>
      </c>
      <c r="H367" t="s">
        <v>32</v>
      </c>
      <c r="I367" t="s">
        <v>53</v>
      </c>
      <c r="J367">
        <v>9</v>
      </c>
      <c r="K367">
        <v>3200</v>
      </c>
      <c r="L367">
        <v>0</v>
      </c>
      <c r="M367">
        <v>28800</v>
      </c>
      <c r="N367">
        <v>20160</v>
      </c>
      <c r="O367">
        <v>8640</v>
      </c>
      <c r="P367" t="s">
        <v>40</v>
      </c>
      <c r="Q367" t="s">
        <v>76</v>
      </c>
      <c r="R367" t="str">
        <f>TEXT(SalesData[[#This Row],[Order Date]],"mmm")</f>
        <v>Aug</v>
      </c>
      <c r="S367" s="2" t="str">
        <f>"Q"&amp;ROUNDUP(MONTH(SalesData[[#This Row],[Order Date]])/3,0)</f>
        <v>Q3</v>
      </c>
      <c r="T367">
        <f>YEAR(SalesData[[#This Row],[Order Date]])</f>
        <v>2025</v>
      </c>
      <c r="U367">
        <f>SalesData[[#This Row],[Profit]]/SalesData[[#This Row],[Sales]]</f>
        <v>0.3</v>
      </c>
    </row>
    <row r="368" spans="1:21" x14ac:dyDescent="0.25">
      <c r="A368" t="s">
        <v>609</v>
      </c>
      <c r="B368" s="1">
        <v>45866</v>
      </c>
      <c r="C368" t="s">
        <v>125</v>
      </c>
      <c r="D368" t="s">
        <v>100</v>
      </c>
      <c r="E368" t="s">
        <v>37</v>
      </c>
      <c r="F368" t="s">
        <v>38</v>
      </c>
      <c r="G368" t="s">
        <v>22</v>
      </c>
      <c r="H368" t="s">
        <v>46</v>
      </c>
      <c r="I368" t="s">
        <v>53</v>
      </c>
      <c r="J368">
        <v>10</v>
      </c>
      <c r="K368">
        <v>55000</v>
      </c>
      <c r="L368">
        <v>10</v>
      </c>
      <c r="M368">
        <v>495000</v>
      </c>
      <c r="N368">
        <v>385000</v>
      </c>
      <c r="O368">
        <v>110000</v>
      </c>
      <c r="P368" t="s">
        <v>40</v>
      </c>
      <c r="Q368" t="s">
        <v>33</v>
      </c>
      <c r="R368" t="str">
        <f>TEXT(SalesData[[#This Row],[Order Date]],"mmm")</f>
        <v>Jul</v>
      </c>
      <c r="S368" s="2" t="str">
        <f>"Q"&amp;ROUNDUP(MONTH(SalesData[[#This Row],[Order Date]])/3,0)</f>
        <v>Q3</v>
      </c>
      <c r="T368">
        <f>YEAR(SalesData[[#This Row],[Order Date]])</f>
        <v>2025</v>
      </c>
      <c r="U368">
        <f>SalesData[[#This Row],[Profit]]/SalesData[[#This Row],[Sales]]</f>
        <v>0.22222222222222221</v>
      </c>
    </row>
    <row r="369" spans="1:21" x14ac:dyDescent="0.25">
      <c r="A369" t="s">
        <v>610</v>
      </c>
      <c r="B369" s="1">
        <v>45748</v>
      </c>
      <c r="C369" t="s">
        <v>163</v>
      </c>
      <c r="D369" t="s">
        <v>164</v>
      </c>
      <c r="E369" t="s">
        <v>50</v>
      </c>
      <c r="F369" t="s">
        <v>51</v>
      </c>
      <c r="G369" t="s">
        <v>52</v>
      </c>
      <c r="H369" t="s">
        <v>23</v>
      </c>
      <c r="I369" t="s">
        <v>80</v>
      </c>
      <c r="J369">
        <v>3</v>
      </c>
      <c r="K369">
        <v>3200</v>
      </c>
      <c r="L369">
        <v>15</v>
      </c>
      <c r="M369">
        <v>8160</v>
      </c>
      <c r="N369">
        <v>6720</v>
      </c>
      <c r="O369">
        <v>1440</v>
      </c>
      <c r="P369" t="s">
        <v>40</v>
      </c>
      <c r="Q369" t="s">
        <v>76</v>
      </c>
      <c r="R369" t="str">
        <f>TEXT(SalesData[[#This Row],[Order Date]],"mmm")</f>
        <v>Apr</v>
      </c>
      <c r="S369" s="2" t="str">
        <f>"Q"&amp;ROUNDUP(MONTH(SalesData[[#This Row],[Order Date]])/3,0)</f>
        <v>Q2</v>
      </c>
      <c r="T369">
        <f>YEAR(SalesData[[#This Row],[Order Date]])</f>
        <v>2025</v>
      </c>
      <c r="U369">
        <f>SalesData[[#This Row],[Profit]]/SalesData[[#This Row],[Sales]]</f>
        <v>0.17647058823529413</v>
      </c>
    </row>
    <row r="370" spans="1:21" x14ac:dyDescent="0.25">
      <c r="A370" t="s">
        <v>611</v>
      </c>
      <c r="B370" s="1">
        <v>46001</v>
      </c>
      <c r="C370" t="s">
        <v>221</v>
      </c>
      <c r="D370" t="s">
        <v>408</v>
      </c>
      <c r="E370" t="s">
        <v>30</v>
      </c>
      <c r="F370" t="s">
        <v>31</v>
      </c>
      <c r="G370" t="s">
        <v>22</v>
      </c>
      <c r="H370" t="s">
        <v>46</v>
      </c>
      <c r="I370" t="s">
        <v>66</v>
      </c>
      <c r="J370">
        <v>3</v>
      </c>
      <c r="K370">
        <v>800</v>
      </c>
      <c r="L370">
        <v>0</v>
      </c>
      <c r="M370">
        <v>2400</v>
      </c>
      <c r="N370">
        <v>1680</v>
      </c>
      <c r="O370">
        <v>720</v>
      </c>
      <c r="P370" t="s">
        <v>25</v>
      </c>
      <c r="Q370" t="s">
        <v>76</v>
      </c>
      <c r="R370" t="str">
        <f>TEXT(SalesData[[#This Row],[Order Date]],"mmm")</f>
        <v>Dec</v>
      </c>
      <c r="S370" s="2" t="str">
        <f>"Q"&amp;ROUNDUP(MONTH(SalesData[[#This Row],[Order Date]])/3,0)</f>
        <v>Q4</v>
      </c>
      <c r="T370">
        <f>YEAR(SalesData[[#This Row],[Order Date]])</f>
        <v>2025</v>
      </c>
      <c r="U370">
        <f>SalesData[[#This Row],[Profit]]/SalesData[[#This Row],[Sales]]</f>
        <v>0.3</v>
      </c>
    </row>
    <row r="371" spans="1:21" x14ac:dyDescent="0.25">
      <c r="A371" t="s">
        <v>612</v>
      </c>
      <c r="B371" s="1">
        <v>45885</v>
      </c>
      <c r="C371" t="s">
        <v>613</v>
      </c>
      <c r="D371" t="s">
        <v>188</v>
      </c>
      <c r="E371" t="s">
        <v>50</v>
      </c>
      <c r="F371" t="s">
        <v>51</v>
      </c>
      <c r="G371" t="s">
        <v>52</v>
      </c>
      <c r="H371" t="s">
        <v>65</v>
      </c>
      <c r="I371" t="s">
        <v>53</v>
      </c>
      <c r="J371">
        <v>7</v>
      </c>
      <c r="K371">
        <v>3200</v>
      </c>
      <c r="L371">
        <v>5</v>
      </c>
      <c r="M371">
        <v>21280</v>
      </c>
      <c r="N371">
        <v>15680</v>
      </c>
      <c r="O371">
        <v>5600.0000000000018</v>
      </c>
      <c r="P371" t="s">
        <v>58</v>
      </c>
      <c r="Q371" t="s">
        <v>76</v>
      </c>
      <c r="R371" t="str">
        <f>TEXT(SalesData[[#This Row],[Order Date]],"mmm")</f>
        <v>Aug</v>
      </c>
      <c r="S371" s="2" t="str">
        <f>"Q"&amp;ROUNDUP(MONTH(SalesData[[#This Row],[Order Date]])/3,0)</f>
        <v>Q3</v>
      </c>
      <c r="T371">
        <f>YEAR(SalesData[[#This Row],[Order Date]])</f>
        <v>2025</v>
      </c>
      <c r="U371">
        <f>SalesData[[#This Row],[Profit]]/SalesData[[#This Row],[Sales]]</f>
        <v>0.2631578947368422</v>
      </c>
    </row>
    <row r="372" spans="1:21" x14ac:dyDescent="0.25">
      <c r="A372" t="s">
        <v>614</v>
      </c>
      <c r="B372" s="1">
        <v>46015</v>
      </c>
      <c r="C372" t="s">
        <v>88</v>
      </c>
      <c r="D372" t="s">
        <v>199</v>
      </c>
      <c r="E372" t="s">
        <v>50</v>
      </c>
      <c r="F372" t="s">
        <v>51</v>
      </c>
      <c r="G372" t="s">
        <v>52</v>
      </c>
      <c r="H372" t="s">
        <v>23</v>
      </c>
      <c r="I372" t="s">
        <v>53</v>
      </c>
      <c r="J372">
        <v>4</v>
      </c>
      <c r="K372">
        <v>3200</v>
      </c>
      <c r="L372">
        <v>20</v>
      </c>
      <c r="M372">
        <v>10240</v>
      </c>
      <c r="N372">
        <v>8960</v>
      </c>
      <c r="O372">
        <v>1280</v>
      </c>
      <c r="P372" t="s">
        <v>40</v>
      </c>
      <c r="Q372" t="s">
        <v>33</v>
      </c>
      <c r="R372" t="str">
        <f>TEXT(SalesData[[#This Row],[Order Date]],"mmm")</f>
        <v>Dec</v>
      </c>
      <c r="S372" s="2" t="str">
        <f>"Q"&amp;ROUNDUP(MONTH(SalesData[[#This Row],[Order Date]])/3,0)</f>
        <v>Q4</v>
      </c>
      <c r="T372">
        <f>YEAR(SalesData[[#This Row],[Order Date]])</f>
        <v>2025</v>
      </c>
      <c r="U372">
        <f>SalesData[[#This Row],[Profit]]/SalesData[[#This Row],[Sales]]</f>
        <v>0.125</v>
      </c>
    </row>
    <row r="373" spans="1:21" x14ac:dyDescent="0.25">
      <c r="A373" t="s">
        <v>615</v>
      </c>
      <c r="B373" s="1">
        <v>45930</v>
      </c>
      <c r="C373" t="s">
        <v>360</v>
      </c>
      <c r="D373" t="s">
        <v>247</v>
      </c>
      <c r="E373" t="s">
        <v>30</v>
      </c>
      <c r="F373" t="s">
        <v>31</v>
      </c>
      <c r="G373" t="s">
        <v>22</v>
      </c>
      <c r="H373" t="s">
        <v>23</v>
      </c>
      <c r="I373" t="s">
        <v>80</v>
      </c>
      <c r="J373">
        <v>8</v>
      </c>
      <c r="K373">
        <v>800</v>
      </c>
      <c r="L373">
        <v>5</v>
      </c>
      <c r="M373">
        <v>6080</v>
      </c>
      <c r="N373">
        <v>4480</v>
      </c>
      <c r="O373">
        <v>1600</v>
      </c>
      <c r="P373" t="s">
        <v>58</v>
      </c>
      <c r="Q373" t="s">
        <v>33</v>
      </c>
      <c r="R373" t="str">
        <f>TEXT(SalesData[[#This Row],[Order Date]],"mmm")</f>
        <v>Sep</v>
      </c>
      <c r="S373" s="2" t="str">
        <f>"Q"&amp;ROUNDUP(MONTH(SalesData[[#This Row],[Order Date]])/3,0)</f>
        <v>Q3</v>
      </c>
      <c r="T373">
        <f>YEAR(SalesData[[#This Row],[Order Date]])</f>
        <v>2025</v>
      </c>
      <c r="U373">
        <f>SalesData[[#This Row],[Profit]]/SalesData[[#This Row],[Sales]]</f>
        <v>0.26315789473684209</v>
      </c>
    </row>
    <row r="374" spans="1:21" x14ac:dyDescent="0.25">
      <c r="A374" t="s">
        <v>616</v>
      </c>
      <c r="B374" s="1">
        <v>45895</v>
      </c>
      <c r="C374" t="s">
        <v>107</v>
      </c>
      <c r="D374" t="s">
        <v>142</v>
      </c>
      <c r="E374" t="s">
        <v>20</v>
      </c>
      <c r="F374" t="s">
        <v>21</v>
      </c>
      <c r="G374" t="s">
        <v>22</v>
      </c>
      <c r="H374" t="s">
        <v>32</v>
      </c>
      <c r="I374" t="s">
        <v>66</v>
      </c>
      <c r="J374">
        <v>7</v>
      </c>
      <c r="K374">
        <v>3500</v>
      </c>
      <c r="L374">
        <v>15</v>
      </c>
      <c r="M374">
        <v>20825</v>
      </c>
      <c r="N374">
        <v>17150</v>
      </c>
      <c r="O374">
        <v>3675</v>
      </c>
      <c r="P374" t="s">
        <v>25</v>
      </c>
      <c r="Q374" t="s">
        <v>33</v>
      </c>
      <c r="R374" t="str">
        <f>TEXT(SalesData[[#This Row],[Order Date]],"mmm")</f>
        <v>Aug</v>
      </c>
      <c r="S374" s="2" t="str">
        <f>"Q"&amp;ROUNDUP(MONTH(SalesData[[#This Row],[Order Date]])/3,0)</f>
        <v>Q3</v>
      </c>
      <c r="T374">
        <f>YEAR(SalesData[[#This Row],[Order Date]])</f>
        <v>2025</v>
      </c>
      <c r="U374">
        <f>SalesData[[#This Row],[Profit]]/SalesData[[#This Row],[Sales]]</f>
        <v>0.17647058823529413</v>
      </c>
    </row>
    <row r="375" spans="1:21" x14ac:dyDescent="0.25">
      <c r="A375" t="s">
        <v>617</v>
      </c>
      <c r="B375" s="1">
        <v>45696</v>
      </c>
      <c r="C375" t="s">
        <v>212</v>
      </c>
      <c r="D375" t="s">
        <v>391</v>
      </c>
      <c r="E375" t="s">
        <v>62</v>
      </c>
      <c r="F375" t="s">
        <v>63</v>
      </c>
      <c r="G375" t="s">
        <v>64</v>
      </c>
      <c r="H375" t="s">
        <v>46</v>
      </c>
      <c r="I375" t="s">
        <v>24</v>
      </c>
      <c r="J375">
        <v>10</v>
      </c>
      <c r="K375">
        <v>8500</v>
      </c>
      <c r="L375">
        <v>15</v>
      </c>
      <c r="M375">
        <v>72250</v>
      </c>
      <c r="N375">
        <v>59499.999999999993</v>
      </c>
      <c r="O375">
        <v>12750.000000000009</v>
      </c>
      <c r="P375" t="s">
        <v>58</v>
      </c>
      <c r="Q375" t="s">
        <v>76</v>
      </c>
      <c r="R375" t="str">
        <f>TEXT(SalesData[[#This Row],[Order Date]],"mmm")</f>
        <v>Feb</v>
      </c>
      <c r="S375" s="2" t="str">
        <f>"Q"&amp;ROUNDUP(MONTH(SalesData[[#This Row],[Order Date]])/3,0)</f>
        <v>Q1</v>
      </c>
      <c r="T375">
        <f>YEAR(SalesData[[#This Row],[Order Date]])</f>
        <v>2025</v>
      </c>
      <c r="U375">
        <f>SalesData[[#This Row],[Profit]]/SalesData[[#This Row],[Sales]]</f>
        <v>0.17647058823529424</v>
      </c>
    </row>
    <row r="376" spans="1:21" x14ac:dyDescent="0.25">
      <c r="A376" t="s">
        <v>618</v>
      </c>
      <c r="B376" s="1">
        <v>45809</v>
      </c>
      <c r="C376" t="s">
        <v>138</v>
      </c>
      <c r="D376" t="s">
        <v>389</v>
      </c>
      <c r="E376" t="s">
        <v>70</v>
      </c>
      <c r="F376" t="s">
        <v>71</v>
      </c>
      <c r="G376" t="s">
        <v>22</v>
      </c>
      <c r="H376" t="s">
        <v>65</v>
      </c>
      <c r="I376" t="s">
        <v>53</v>
      </c>
      <c r="J376">
        <v>1</v>
      </c>
      <c r="K376">
        <v>1500</v>
      </c>
      <c r="L376">
        <v>0</v>
      </c>
      <c r="M376">
        <v>1500</v>
      </c>
      <c r="N376">
        <v>1050</v>
      </c>
      <c r="O376">
        <v>450</v>
      </c>
      <c r="P376" t="s">
        <v>25</v>
      </c>
      <c r="Q376" t="s">
        <v>26</v>
      </c>
      <c r="R376" t="str">
        <f>TEXT(SalesData[[#This Row],[Order Date]],"mmm")</f>
        <v>Jun</v>
      </c>
      <c r="S376" s="2" t="str">
        <f>"Q"&amp;ROUNDUP(MONTH(SalesData[[#This Row],[Order Date]])/3,0)</f>
        <v>Q2</v>
      </c>
      <c r="T376">
        <f>YEAR(SalesData[[#This Row],[Order Date]])</f>
        <v>2025</v>
      </c>
      <c r="U376">
        <f>SalesData[[#This Row],[Profit]]/SalesData[[#This Row],[Sales]]</f>
        <v>0.3</v>
      </c>
    </row>
    <row r="377" spans="1:21" x14ac:dyDescent="0.25">
      <c r="A377" t="s">
        <v>619</v>
      </c>
      <c r="B377" s="1">
        <v>45949</v>
      </c>
      <c r="C377" t="s">
        <v>229</v>
      </c>
      <c r="D377" t="s">
        <v>171</v>
      </c>
      <c r="E377" t="s">
        <v>20</v>
      </c>
      <c r="F377" t="s">
        <v>21</v>
      </c>
      <c r="G377" t="s">
        <v>22</v>
      </c>
      <c r="H377" t="s">
        <v>65</v>
      </c>
      <c r="I377" t="s">
        <v>53</v>
      </c>
      <c r="J377">
        <v>1</v>
      </c>
      <c r="K377">
        <v>3500</v>
      </c>
      <c r="L377">
        <v>0</v>
      </c>
      <c r="M377">
        <v>3500</v>
      </c>
      <c r="N377">
        <v>2450</v>
      </c>
      <c r="O377">
        <v>1050</v>
      </c>
      <c r="P377" t="s">
        <v>54</v>
      </c>
      <c r="Q377" t="s">
        <v>26</v>
      </c>
      <c r="R377" t="str">
        <f>TEXT(SalesData[[#This Row],[Order Date]],"mmm")</f>
        <v>Oct</v>
      </c>
      <c r="S377" s="2" t="str">
        <f>"Q"&amp;ROUNDUP(MONTH(SalesData[[#This Row],[Order Date]])/3,0)</f>
        <v>Q4</v>
      </c>
      <c r="T377">
        <f>YEAR(SalesData[[#This Row],[Order Date]])</f>
        <v>2025</v>
      </c>
      <c r="U377">
        <f>SalesData[[#This Row],[Profit]]/SalesData[[#This Row],[Sales]]</f>
        <v>0.3</v>
      </c>
    </row>
    <row r="378" spans="1:21" x14ac:dyDescent="0.25">
      <c r="A378" t="s">
        <v>620</v>
      </c>
      <c r="B378" s="1">
        <v>45910</v>
      </c>
      <c r="C378" t="s">
        <v>198</v>
      </c>
      <c r="D378" t="s">
        <v>113</v>
      </c>
      <c r="E378" t="s">
        <v>50</v>
      </c>
      <c r="F378" t="s">
        <v>51</v>
      </c>
      <c r="G378" t="s">
        <v>52</v>
      </c>
      <c r="H378" t="s">
        <v>46</v>
      </c>
      <c r="I378" t="s">
        <v>24</v>
      </c>
      <c r="J378">
        <v>2</v>
      </c>
      <c r="K378">
        <v>3200</v>
      </c>
      <c r="L378">
        <v>0</v>
      </c>
      <c r="M378">
        <v>6400</v>
      </c>
      <c r="N378">
        <v>4480</v>
      </c>
      <c r="O378">
        <v>1920</v>
      </c>
      <c r="P378" t="s">
        <v>54</v>
      </c>
      <c r="Q378" t="s">
        <v>76</v>
      </c>
      <c r="R378" t="str">
        <f>TEXT(SalesData[[#This Row],[Order Date]],"mmm")</f>
        <v>Sep</v>
      </c>
      <c r="S378" s="2" t="str">
        <f>"Q"&amp;ROUNDUP(MONTH(SalesData[[#This Row],[Order Date]])/3,0)</f>
        <v>Q3</v>
      </c>
      <c r="T378">
        <f>YEAR(SalesData[[#This Row],[Order Date]])</f>
        <v>2025</v>
      </c>
      <c r="U378">
        <f>SalesData[[#This Row],[Profit]]/SalesData[[#This Row],[Sales]]</f>
        <v>0.3</v>
      </c>
    </row>
    <row r="379" spans="1:21" x14ac:dyDescent="0.25">
      <c r="A379" t="s">
        <v>621</v>
      </c>
      <c r="B379" s="1">
        <v>45820</v>
      </c>
      <c r="C379" t="s">
        <v>85</v>
      </c>
      <c r="D379" t="s">
        <v>295</v>
      </c>
      <c r="E379" t="s">
        <v>30</v>
      </c>
      <c r="F379" t="s">
        <v>31</v>
      </c>
      <c r="G379" t="s">
        <v>22</v>
      </c>
      <c r="H379" t="s">
        <v>65</v>
      </c>
      <c r="I379" t="s">
        <v>24</v>
      </c>
      <c r="J379">
        <v>2</v>
      </c>
      <c r="K379">
        <v>800</v>
      </c>
      <c r="L379">
        <v>10</v>
      </c>
      <c r="M379">
        <v>1440</v>
      </c>
      <c r="N379">
        <v>1120</v>
      </c>
      <c r="O379">
        <v>320</v>
      </c>
      <c r="P379" t="s">
        <v>54</v>
      </c>
      <c r="Q379" t="s">
        <v>33</v>
      </c>
      <c r="R379" t="str">
        <f>TEXT(SalesData[[#This Row],[Order Date]],"mmm")</f>
        <v>Jun</v>
      </c>
      <c r="S379" s="2" t="str">
        <f>"Q"&amp;ROUNDUP(MONTH(SalesData[[#This Row],[Order Date]])/3,0)</f>
        <v>Q2</v>
      </c>
      <c r="T379">
        <f>YEAR(SalesData[[#This Row],[Order Date]])</f>
        <v>2025</v>
      </c>
      <c r="U379">
        <f>SalesData[[#This Row],[Profit]]/SalesData[[#This Row],[Sales]]</f>
        <v>0.22222222222222221</v>
      </c>
    </row>
    <row r="380" spans="1:21" x14ac:dyDescent="0.25">
      <c r="A380" t="s">
        <v>622</v>
      </c>
      <c r="B380" s="1">
        <v>45671</v>
      </c>
      <c r="C380" t="s">
        <v>623</v>
      </c>
      <c r="D380" t="s">
        <v>293</v>
      </c>
      <c r="E380" t="s">
        <v>30</v>
      </c>
      <c r="F380" t="s">
        <v>31</v>
      </c>
      <c r="G380" t="s">
        <v>22</v>
      </c>
      <c r="H380" t="s">
        <v>46</v>
      </c>
      <c r="I380" t="s">
        <v>66</v>
      </c>
      <c r="J380">
        <v>8</v>
      </c>
      <c r="K380">
        <v>800</v>
      </c>
      <c r="L380">
        <v>10</v>
      </c>
      <c r="M380">
        <v>5760</v>
      </c>
      <c r="N380">
        <v>4480</v>
      </c>
      <c r="O380">
        <v>1280</v>
      </c>
      <c r="P380" t="s">
        <v>58</v>
      </c>
      <c r="Q380" t="s">
        <v>76</v>
      </c>
      <c r="R380" t="str">
        <f>TEXT(SalesData[[#This Row],[Order Date]],"mmm")</f>
        <v>Jan</v>
      </c>
      <c r="S380" s="2" t="str">
        <f>"Q"&amp;ROUNDUP(MONTH(SalesData[[#This Row],[Order Date]])/3,0)</f>
        <v>Q1</v>
      </c>
      <c r="T380">
        <f>YEAR(SalesData[[#This Row],[Order Date]])</f>
        <v>2025</v>
      </c>
      <c r="U380">
        <f>SalesData[[#This Row],[Profit]]/SalesData[[#This Row],[Sales]]</f>
        <v>0.22222222222222221</v>
      </c>
    </row>
    <row r="381" spans="1:21" x14ac:dyDescent="0.25">
      <c r="A381" t="s">
        <v>624</v>
      </c>
      <c r="B381" s="1">
        <v>45781</v>
      </c>
      <c r="C381" t="s">
        <v>370</v>
      </c>
      <c r="D381" t="s">
        <v>253</v>
      </c>
      <c r="E381" t="s">
        <v>20</v>
      </c>
      <c r="F381" t="s">
        <v>21</v>
      </c>
      <c r="G381" t="s">
        <v>22</v>
      </c>
      <c r="H381" t="s">
        <v>65</v>
      </c>
      <c r="I381" t="s">
        <v>80</v>
      </c>
      <c r="J381">
        <v>3</v>
      </c>
      <c r="K381">
        <v>3500</v>
      </c>
      <c r="L381">
        <v>5</v>
      </c>
      <c r="M381">
        <v>9975</v>
      </c>
      <c r="N381">
        <v>7349.9999999999991</v>
      </c>
      <c r="O381">
        <v>2625.0000000000009</v>
      </c>
      <c r="P381" t="s">
        <v>25</v>
      </c>
      <c r="Q381" t="s">
        <v>26</v>
      </c>
      <c r="R381" t="str">
        <f>TEXT(SalesData[[#This Row],[Order Date]],"mmm")</f>
        <v>May</v>
      </c>
      <c r="S381" s="2" t="str">
        <f>"Q"&amp;ROUNDUP(MONTH(SalesData[[#This Row],[Order Date]])/3,0)</f>
        <v>Q2</v>
      </c>
      <c r="T381">
        <f>YEAR(SalesData[[#This Row],[Order Date]])</f>
        <v>2025</v>
      </c>
      <c r="U381">
        <f>SalesData[[#This Row],[Profit]]/SalesData[[#This Row],[Sales]]</f>
        <v>0.2631578947368422</v>
      </c>
    </row>
    <row r="382" spans="1:21" x14ac:dyDescent="0.25">
      <c r="A382" t="s">
        <v>625</v>
      </c>
      <c r="B382" s="1">
        <v>45764</v>
      </c>
      <c r="C382" t="s">
        <v>448</v>
      </c>
      <c r="D382" t="s">
        <v>555</v>
      </c>
      <c r="E382" t="s">
        <v>30</v>
      </c>
      <c r="F382" t="s">
        <v>31</v>
      </c>
      <c r="G382" t="s">
        <v>22</v>
      </c>
      <c r="H382" t="s">
        <v>23</v>
      </c>
      <c r="I382" t="s">
        <v>53</v>
      </c>
      <c r="J382">
        <v>7</v>
      </c>
      <c r="K382">
        <v>800</v>
      </c>
      <c r="L382">
        <v>0</v>
      </c>
      <c r="M382">
        <v>5600</v>
      </c>
      <c r="N382">
        <v>3920</v>
      </c>
      <c r="O382">
        <v>1680</v>
      </c>
      <c r="P382" t="s">
        <v>25</v>
      </c>
      <c r="Q382" t="s">
        <v>33</v>
      </c>
      <c r="R382" t="str">
        <f>TEXT(SalesData[[#This Row],[Order Date]],"mmm")</f>
        <v>Apr</v>
      </c>
      <c r="S382" s="2" t="str">
        <f>"Q"&amp;ROUNDUP(MONTH(SalesData[[#This Row],[Order Date]])/3,0)</f>
        <v>Q2</v>
      </c>
      <c r="T382">
        <f>YEAR(SalesData[[#This Row],[Order Date]])</f>
        <v>2025</v>
      </c>
      <c r="U382">
        <f>SalesData[[#This Row],[Profit]]/SalesData[[#This Row],[Sales]]</f>
        <v>0.3</v>
      </c>
    </row>
    <row r="383" spans="1:21" x14ac:dyDescent="0.25">
      <c r="A383" t="s">
        <v>626</v>
      </c>
      <c r="B383" s="1">
        <v>45849</v>
      </c>
      <c r="C383" t="s">
        <v>471</v>
      </c>
      <c r="D383" t="s">
        <v>329</v>
      </c>
      <c r="E383" t="s">
        <v>70</v>
      </c>
      <c r="F383" t="s">
        <v>71</v>
      </c>
      <c r="G383" t="s">
        <v>22</v>
      </c>
      <c r="H383" t="s">
        <v>23</v>
      </c>
      <c r="I383" t="s">
        <v>66</v>
      </c>
      <c r="J383">
        <v>6</v>
      </c>
      <c r="K383">
        <v>1500</v>
      </c>
      <c r="L383">
        <v>15</v>
      </c>
      <c r="M383">
        <v>7650</v>
      </c>
      <c r="N383">
        <v>6300</v>
      </c>
      <c r="O383">
        <v>1350</v>
      </c>
      <c r="P383" t="s">
        <v>25</v>
      </c>
      <c r="Q383" t="s">
        <v>26</v>
      </c>
      <c r="R383" t="str">
        <f>TEXT(SalesData[[#This Row],[Order Date]],"mmm")</f>
        <v>Jul</v>
      </c>
      <c r="S383" s="2" t="str">
        <f>"Q"&amp;ROUNDUP(MONTH(SalesData[[#This Row],[Order Date]])/3,0)</f>
        <v>Q3</v>
      </c>
      <c r="T383">
        <f>YEAR(SalesData[[#This Row],[Order Date]])</f>
        <v>2025</v>
      </c>
      <c r="U383">
        <f>SalesData[[#This Row],[Profit]]/SalesData[[#This Row],[Sales]]</f>
        <v>0.17647058823529413</v>
      </c>
    </row>
    <row r="384" spans="1:21" x14ac:dyDescent="0.25">
      <c r="A384" t="s">
        <v>627</v>
      </c>
      <c r="B384" s="1">
        <v>45824</v>
      </c>
      <c r="C384" t="s">
        <v>121</v>
      </c>
      <c r="D384" t="s">
        <v>555</v>
      </c>
      <c r="E384" t="s">
        <v>20</v>
      </c>
      <c r="F384" t="s">
        <v>21</v>
      </c>
      <c r="G384" t="s">
        <v>22</v>
      </c>
      <c r="H384" t="s">
        <v>46</v>
      </c>
      <c r="I384" t="s">
        <v>53</v>
      </c>
      <c r="J384">
        <v>10</v>
      </c>
      <c r="K384">
        <v>3500</v>
      </c>
      <c r="L384">
        <v>20</v>
      </c>
      <c r="M384">
        <v>28000</v>
      </c>
      <c r="N384">
        <v>24500</v>
      </c>
      <c r="O384">
        <v>3500</v>
      </c>
      <c r="P384" t="s">
        <v>58</v>
      </c>
      <c r="Q384" t="s">
        <v>76</v>
      </c>
      <c r="R384" t="str">
        <f>TEXT(SalesData[[#This Row],[Order Date]],"mmm")</f>
        <v>Jun</v>
      </c>
      <c r="S384" s="2" t="str">
        <f>"Q"&amp;ROUNDUP(MONTH(SalesData[[#This Row],[Order Date]])/3,0)</f>
        <v>Q2</v>
      </c>
      <c r="T384">
        <f>YEAR(SalesData[[#This Row],[Order Date]])</f>
        <v>2025</v>
      </c>
      <c r="U384">
        <f>SalesData[[#This Row],[Profit]]/SalesData[[#This Row],[Sales]]</f>
        <v>0.125</v>
      </c>
    </row>
    <row r="385" spans="1:21" x14ac:dyDescent="0.25">
      <c r="A385" t="s">
        <v>628</v>
      </c>
      <c r="B385" s="1">
        <v>45850</v>
      </c>
      <c r="C385" t="s">
        <v>85</v>
      </c>
      <c r="D385" t="s">
        <v>606</v>
      </c>
      <c r="E385" t="s">
        <v>44</v>
      </c>
      <c r="F385" t="s">
        <v>45</v>
      </c>
      <c r="G385" t="s">
        <v>22</v>
      </c>
      <c r="H385" t="s">
        <v>32</v>
      </c>
      <c r="I385" t="s">
        <v>80</v>
      </c>
      <c r="J385">
        <v>6</v>
      </c>
      <c r="K385">
        <v>9500</v>
      </c>
      <c r="L385">
        <v>20</v>
      </c>
      <c r="M385">
        <v>45600</v>
      </c>
      <c r="N385">
        <v>39900</v>
      </c>
      <c r="O385">
        <v>5700</v>
      </c>
      <c r="P385" t="s">
        <v>58</v>
      </c>
      <c r="Q385" t="s">
        <v>26</v>
      </c>
      <c r="R385" t="str">
        <f>TEXT(SalesData[[#This Row],[Order Date]],"mmm")</f>
        <v>Jul</v>
      </c>
      <c r="S385" s="2" t="str">
        <f>"Q"&amp;ROUNDUP(MONTH(SalesData[[#This Row],[Order Date]])/3,0)</f>
        <v>Q3</v>
      </c>
      <c r="T385">
        <f>YEAR(SalesData[[#This Row],[Order Date]])</f>
        <v>2025</v>
      </c>
      <c r="U385">
        <f>SalesData[[#This Row],[Profit]]/SalesData[[#This Row],[Sales]]</f>
        <v>0.125</v>
      </c>
    </row>
    <row r="386" spans="1:21" x14ac:dyDescent="0.25">
      <c r="A386" t="s">
        <v>629</v>
      </c>
      <c r="B386" s="1">
        <v>45994</v>
      </c>
      <c r="C386" t="s">
        <v>332</v>
      </c>
      <c r="D386" t="s">
        <v>338</v>
      </c>
      <c r="E386" t="s">
        <v>62</v>
      </c>
      <c r="F386" t="s">
        <v>63</v>
      </c>
      <c r="G386" t="s">
        <v>64</v>
      </c>
      <c r="H386" t="s">
        <v>23</v>
      </c>
      <c r="I386" t="s">
        <v>66</v>
      </c>
      <c r="J386">
        <v>8</v>
      </c>
      <c r="K386">
        <v>8500</v>
      </c>
      <c r="L386">
        <v>0</v>
      </c>
      <c r="M386">
        <v>68000</v>
      </c>
      <c r="N386">
        <v>47600</v>
      </c>
      <c r="O386">
        <v>20400</v>
      </c>
      <c r="P386" t="s">
        <v>54</v>
      </c>
      <c r="Q386" t="s">
        <v>33</v>
      </c>
      <c r="R386" t="str">
        <f>TEXT(SalesData[[#This Row],[Order Date]],"mmm")</f>
        <v>Dec</v>
      </c>
      <c r="S386" s="2" t="str">
        <f>"Q"&amp;ROUNDUP(MONTH(SalesData[[#This Row],[Order Date]])/3,0)</f>
        <v>Q4</v>
      </c>
      <c r="T386">
        <f>YEAR(SalesData[[#This Row],[Order Date]])</f>
        <v>2025</v>
      </c>
      <c r="U386">
        <f>SalesData[[#This Row],[Profit]]/SalesData[[#This Row],[Sales]]</f>
        <v>0.3</v>
      </c>
    </row>
    <row r="387" spans="1:21" x14ac:dyDescent="0.25">
      <c r="A387" t="s">
        <v>630</v>
      </c>
      <c r="B387" s="1">
        <v>45809</v>
      </c>
      <c r="C387" t="s">
        <v>232</v>
      </c>
      <c r="D387" t="s">
        <v>420</v>
      </c>
      <c r="E387" t="s">
        <v>50</v>
      </c>
      <c r="F387" t="s">
        <v>51</v>
      </c>
      <c r="G387" t="s">
        <v>52</v>
      </c>
      <c r="H387" t="s">
        <v>23</v>
      </c>
      <c r="I387" t="s">
        <v>72</v>
      </c>
      <c r="J387">
        <v>3</v>
      </c>
      <c r="K387">
        <v>3200</v>
      </c>
      <c r="L387">
        <v>20</v>
      </c>
      <c r="M387">
        <v>7680</v>
      </c>
      <c r="N387">
        <v>6720</v>
      </c>
      <c r="O387">
        <v>960</v>
      </c>
      <c r="P387" t="s">
        <v>58</v>
      </c>
      <c r="Q387" t="s">
        <v>76</v>
      </c>
      <c r="R387" t="str">
        <f>TEXT(SalesData[[#This Row],[Order Date]],"mmm")</f>
        <v>Jun</v>
      </c>
      <c r="S387" s="2" t="str">
        <f>"Q"&amp;ROUNDUP(MONTH(SalesData[[#This Row],[Order Date]])/3,0)</f>
        <v>Q2</v>
      </c>
      <c r="T387">
        <f>YEAR(SalesData[[#This Row],[Order Date]])</f>
        <v>2025</v>
      </c>
      <c r="U387">
        <f>SalesData[[#This Row],[Profit]]/SalesData[[#This Row],[Sales]]</f>
        <v>0.125</v>
      </c>
    </row>
    <row r="388" spans="1:21" x14ac:dyDescent="0.25">
      <c r="A388" t="s">
        <v>631</v>
      </c>
      <c r="B388" s="1">
        <v>45758</v>
      </c>
      <c r="C388" t="s">
        <v>107</v>
      </c>
      <c r="D388" t="s">
        <v>391</v>
      </c>
      <c r="E388" t="s">
        <v>44</v>
      </c>
      <c r="F388" t="s">
        <v>45</v>
      </c>
      <c r="G388" t="s">
        <v>22</v>
      </c>
      <c r="H388" t="s">
        <v>32</v>
      </c>
      <c r="I388" t="s">
        <v>24</v>
      </c>
      <c r="J388">
        <v>4</v>
      </c>
      <c r="K388">
        <v>9500</v>
      </c>
      <c r="L388">
        <v>5</v>
      </c>
      <c r="M388">
        <v>36100</v>
      </c>
      <c r="N388">
        <v>26600</v>
      </c>
      <c r="O388">
        <v>9500</v>
      </c>
      <c r="P388" t="s">
        <v>58</v>
      </c>
      <c r="Q388" t="s">
        <v>26</v>
      </c>
      <c r="R388" t="str">
        <f>TEXT(SalesData[[#This Row],[Order Date]],"mmm")</f>
        <v>Apr</v>
      </c>
      <c r="S388" s="2" t="str">
        <f>"Q"&amp;ROUNDUP(MONTH(SalesData[[#This Row],[Order Date]])/3,0)</f>
        <v>Q2</v>
      </c>
      <c r="T388">
        <f>YEAR(SalesData[[#This Row],[Order Date]])</f>
        <v>2025</v>
      </c>
      <c r="U388">
        <f>SalesData[[#This Row],[Profit]]/SalesData[[#This Row],[Sales]]</f>
        <v>0.26315789473684209</v>
      </c>
    </row>
    <row r="389" spans="1:21" x14ac:dyDescent="0.25">
      <c r="A389" t="s">
        <v>632</v>
      </c>
      <c r="B389" s="1">
        <v>46004</v>
      </c>
      <c r="C389" t="s">
        <v>85</v>
      </c>
      <c r="D389" t="s">
        <v>79</v>
      </c>
      <c r="E389" t="s">
        <v>37</v>
      </c>
      <c r="F389" t="s">
        <v>38</v>
      </c>
      <c r="G389" t="s">
        <v>22</v>
      </c>
      <c r="H389" t="s">
        <v>46</v>
      </c>
      <c r="I389" t="s">
        <v>66</v>
      </c>
      <c r="J389">
        <v>1</v>
      </c>
      <c r="K389">
        <v>55000</v>
      </c>
      <c r="L389">
        <v>0</v>
      </c>
      <c r="M389">
        <v>55000</v>
      </c>
      <c r="N389">
        <v>38500</v>
      </c>
      <c r="O389">
        <v>16500</v>
      </c>
      <c r="P389" t="s">
        <v>25</v>
      </c>
      <c r="Q389" t="s">
        <v>33</v>
      </c>
      <c r="R389" t="str">
        <f>TEXT(SalesData[[#This Row],[Order Date]],"mmm")</f>
        <v>Dec</v>
      </c>
      <c r="S389" s="2" t="str">
        <f>"Q"&amp;ROUNDUP(MONTH(SalesData[[#This Row],[Order Date]])/3,0)</f>
        <v>Q4</v>
      </c>
      <c r="T389">
        <f>YEAR(SalesData[[#This Row],[Order Date]])</f>
        <v>2025</v>
      </c>
      <c r="U389">
        <f>SalesData[[#This Row],[Profit]]/SalesData[[#This Row],[Sales]]</f>
        <v>0.3</v>
      </c>
    </row>
    <row r="390" spans="1:21" x14ac:dyDescent="0.25">
      <c r="A390" t="s">
        <v>633</v>
      </c>
      <c r="B390" s="1">
        <v>46014</v>
      </c>
      <c r="C390" t="s">
        <v>634</v>
      </c>
      <c r="D390" t="s">
        <v>100</v>
      </c>
      <c r="E390" t="s">
        <v>20</v>
      </c>
      <c r="F390" t="s">
        <v>21</v>
      </c>
      <c r="G390" t="s">
        <v>22</v>
      </c>
      <c r="H390" t="s">
        <v>23</v>
      </c>
      <c r="I390" t="s">
        <v>53</v>
      </c>
      <c r="J390">
        <v>4</v>
      </c>
      <c r="K390">
        <v>3500</v>
      </c>
      <c r="L390">
        <v>10</v>
      </c>
      <c r="M390">
        <v>12600</v>
      </c>
      <c r="N390">
        <v>9800</v>
      </c>
      <c r="O390">
        <v>2800</v>
      </c>
      <c r="P390" t="s">
        <v>25</v>
      </c>
      <c r="Q390" t="s">
        <v>76</v>
      </c>
      <c r="R390" t="str">
        <f>TEXT(SalesData[[#This Row],[Order Date]],"mmm")</f>
        <v>Dec</v>
      </c>
      <c r="S390" s="2" t="str">
        <f>"Q"&amp;ROUNDUP(MONTH(SalesData[[#This Row],[Order Date]])/3,0)</f>
        <v>Q4</v>
      </c>
      <c r="T390">
        <f>YEAR(SalesData[[#This Row],[Order Date]])</f>
        <v>2025</v>
      </c>
      <c r="U390">
        <f>SalesData[[#This Row],[Profit]]/SalesData[[#This Row],[Sales]]</f>
        <v>0.22222222222222221</v>
      </c>
    </row>
    <row r="391" spans="1:21" x14ac:dyDescent="0.25">
      <c r="A391" t="s">
        <v>635</v>
      </c>
      <c r="B391" s="1">
        <v>45853</v>
      </c>
      <c r="C391" t="s">
        <v>442</v>
      </c>
      <c r="D391" t="s">
        <v>179</v>
      </c>
      <c r="E391" t="s">
        <v>70</v>
      </c>
      <c r="F391" t="s">
        <v>71</v>
      </c>
      <c r="G391" t="s">
        <v>22</v>
      </c>
      <c r="H391" t="s">
        <v>65</v>
      </c>
      <c r="I391" t="s">
        <v>80</v>
      </c>
      <c r="J391">
        <v>5</v>
      </c>
      <c r="K391">
        <v>1500</v>
      </c>
      <c r="L391">
        <v>5</v>
      </c>
      <c r="M391">
        <v>7125</v>
      </c>
      <c r="N391">
        <v>5250</v>
      </c>
      <c r="O391">
        <v>1875</v>
      </c>
      <c r="P391" t="s">
        <v>25</v>
      </c>
      <c r="Q391" t="s">
        <v>33</v>
      </c>
      <c r="R391" t="str">
        <f>TEXT(SalesData[[#This Row],[Order Date]],"mmm")</f>
        <v>Jul</v>
      </c>
      <c r="S391" s="2" t="str">
        <f>"Q"&amp;ROUNDUP(MONTH(SalesData[[#This Row],[Order Date]])/3,0)</f>
        <v>Q3</v>
      </c>
      <c r="T391">
        <f>YEAR(SalesData[[#This Row],[Order Date]])</f>
        <v>2025</v>
      </c>
      <c r="U391">
        <f>SalesData[[#This Row],[Profit]]/SalesData[[#This Row],[Sales]]</f>
        <v>0.26315789473684209</v>
      </c>
    </row>
    <row r="392" spans="1:21" x14ac:dyDescent="0.25">
      <c r="A392" t="s">
        <v>636</v>
      </c>
      <c r="B392" s="1">
        <v>45889</v>
      </c>
      <c r="C392" t="s">
        <v>466</v>
      </c>
      <c r="D392" t="s">
        <v>295</v>
      </c>
      <c r="E392" t="s">
        <v>20</v>
      </c>
      <c r="F392" t="s">
        <v>21</v>
      </c>
      <c r="G392" t="s">
        <v>22</v>
      </c>
      <c r="H392" t="s">
        <v>46</v>
      </c>
      <c r="I392" t="s">
        <v>80</v>
      </c>
      <c r="J392">
        <v>8</v>
      </c>
      <c r="K392">
        <v>3500</v>
      </c>
      <c r="L392">
        <v>0</v>
      </c>
      <c r="M392">
        <v>28000</v>
      </c>
      <c r="N392">
        <v>19600</v>
      </c>
      <c r="O392">
        <v>8400</v>
      </c>
      <c r="P392" t="s">
        <v>54</v>
      </c>
      <c r="Q392" t="s">
        <v>33</v>
      </c>
      <c r="R392" t="str">
        <f>TEXT(SalesData[[#This Row],[Order Date]],"mmm")</f>
        <v>Aug</v>
      </c>
      <c r="S392" s="2" t="str">
        <f>"Q"&amp;ROUNDUP(MONTH(SalesData[[#This Row],[Order Date]])/3,0)</f>
        <v>Q3</v>
      </c>
      <c r="T392">
        <f>YEAR(SalesData[[#This Row],[Order Date]])</f>
        <v>2025</v>
      </c>
      <c r="U392">
        <f>SalesData[[#This Row],[Profit]]/SalesData[[#This Row],[Sales]]</f>
        <v>0.3</v>
      </c>
    </row>
    <row r="393" spans="1:21" x14ac:dyDescent="0.25">
      <c r="A393" t="s">
        <v>637</v>
      </c>
      <c r="B393" s="1">
        <v>45784</v>
      </c>
      <c r="C393" t="s">
        <v>216</v>
      </c>
      <c r="D393" t="s">
        <v>199</v>
      </c>
      <c r="E393" t="s">
        <v>30</v>
      </c>
      <c r="F393" t="s">
        <v>31</v>
      </c>
      <c r="G393" t="s">
        <v>22</v>
      </c>
      <c r="H393" t="s">
        <v>23</v>
      </c>
      <c r="I393" t="s">
        <v>66</v>
      </c>
      <c r="J393">
        <v>7</v>
      </c>
      <c r="K393">
        <v>800</v>
      </c>
      <c r="L393">
        <v>20</v>
      </c>
      <c r="M393">
        <v>4480</v>
      </c>
      <c r="N393">
        <v>3920</v>
      </c>
      <c r="O393">
        <v>560.00000000000045</v>
      </c>
      <c r="P393" t="s">
        <v>54</v>
      </c>
      <c r="Q393" t="s">
        <v>33</v>
      </c>
      <c r="R393" t="str">
        <f>TEXT(SalesData[[#This Row],[Order Date]],"mmm")</f>
        <v>May</v>
      </c>
      <c r="S393" s="2" t="str">
        <f>"Q"&amp;ROUNDUP(MONTH(SalesData[[#This Row],[Order Date]])/3,0)</f>
        <v>Q2</v>
      </c>
      <c r="T393">
        <f>YEAR(SalesData[[#This Row],[Order Date]])</f>
        <v>2025</v>
      </c>
      <c r="U393">
        <f>SalesData[[#This Row],[Profit]]/SalesData[[#This Row],[Sales]]</f>
        <v>0.12500000000000011</v>
      </c>
    </row>
    <row r="394" spans="1:21" x14ac:dyDescent="0.25">
      <c r="A394" t="s">
        <v>638</v>
      </c>
      <c r="B394" s="1">
        <v>45799</v>
      </c>
      <c r="C394" t="s">
        <v>82</v>
      </c>
      <c r="D394" t="s">
        <v>133</v>
      </c>
      <c r="E394" t="s">
        <v>30</v>
      </c>
      <c r="F394" t="s">
        <v>31</v>
      </c>
      <c r="G394" t="s">
        <v>22</v>
      </c>
      <c r="H394" t="s">
        <v>32</v>
      </c>
      <c r="I394" t="s">
        <v>80</v>
      </c>
      <c r="J394">
        <v>5</v>
      </c>
      <c r="K394">
        <v>800</v>
      </c>
      <c r="L394">
        <v>15</v>
      </c>
      <c r="M394">
        <v>3400</v>
      </c>
      <c r="N394">
        <v>2800</v>
      </c>
      <c r="O394">
        <v>600</v>
      </c>
      <c r="P394" t="s">
        <v>25</v>
      </c>
      <c r="Q394" t="s">
        <v>76</v>
      </c>
      <c r="R394" t="str">
        <f>TEXT(SalesData[[#This Row],[Order Date]],"mmm")</f>
        <v>May</v>
      </c>
      <c r="S394" s="2" t="str">
        <f>"Q"&amp;ROUNDUP(MONTH(SalesData[[#This Row],[Order Date]])/3,0)</f>
        <v>Q2</v>
      </c>
      <c r="T394">
        <f>YEAR(SalesData[[#This Row],[Order Date]])</f>
        <v>2025</v>
      </c>
      <c r="U394">
        <f>SalesData[[#This Row],[Profit]]/SalesData[[#This Row],[Sales]]</f>
        <v>0.17647058823529413</v>
      </c>
    </row>
    <row r="395" spans="1:21" x14ac:dyDescent="0.25">
      <c r="A395" t="s">
        <v>639</v>
      </c>
      <c r="B395" s="1">
        <v>45773</v>
      </c>
      <c r="C395" t="s">
        <v>150</v>
      </c>
      <c r="D395" t="s">
        <v>179</v>
      </c>
      <c r="E395" t="s">
        <v>20</v>
      </c>
      <c r="F395" t="s">
        <v>21</v>
      </c>
      <c r="G395" t="s">
        <v>22</v>
      </c>
      <c r="H395" t="s">
        <v>46</v>
      </c>
      <c r="I395" t="s">
        <v>72</v>
      </c>
      <c r="J395">
        <v>5</v>
      </c>
      <c r="K395">
        <v>3500</v>
      </c>
      <c r="L395">
        <v>10</v>
      </c>
      <c r="M395">
        <v>15750</v>
      </c>
      <c r="N395">
        <v>12250</v>
      </c>
      <c r="O395">
        <v>3500</v>
      </c>
      <c r="P395" t="s">
        <v>25</v>
      </c>
      <c r="Q395" t="s">
        <v>76</v>
      </c>
      <c r="R395" t="str">
        <f>TEXT(SalesData[[#This Row],[Order Date]],"mmm")</f>
        <v>Apr</v>
      </c>
      <c r="S395" s="2" t="str">
        <f>"Q"&amp;ROUNDUP(MONTH(SalesData[[#This Row],[Order Date]])/3,0)</f>
        <v>Q2</v>
      </c>
      <c r="T395">
        <f>YEAR(SalesData[[#This Row],[Order Date]])</f>
        <v>2025</v>
      </c>
      <c r="U395">
        <f>SalesData[[#This Row],[Profit]]/SalesData[[#This Row],[Sales]]</f>
        <v>0.22222222222222221</v>
      </c>
    </row>
    <row r="396" spans="1:21" x14ac:dyDescent="0.25">
      <c r="A396" t="s">
        <v>640</v>
      </c>
      <c r="B396" s="1">
        <v>45937</v>
      </c>
      <c r="C396" t="s">
        <v>476</v>
      </c>
      <c r="D396" t="s">
        <v>329</v>
      </c>
      <c r="E396" t="s">
        <v>37</v>
      </c>
      <c r="F396" t="s">
        <v>38</v>
      </c>
      <c r="G396" t="s">
        <v>22</v>
      </c>
      <c r="H396" t="s">
        <v>46</v>
      </c>
      <c r="I396" t="s">
        <v>39</v>
      </c>
      <c r="J396">
        <v>8</v>
      </c>
      <c r="K396">
        <v>55000</v>
      </c>
      <c r="L396">
        <v>15</v>
      </c>
      <c r="M396">
        <v>374000</v>
      </c>
      <c r="N396">
        <v>308000</v>
      </c>
      <c r="O396">
        <v>66000</v>
      </c>
      <c r="P396" t="s">
        <v>25</v>
      </c>
      <c r="Q396" t="s">
        <v>33</v>
      </c>
      <c r="R396" t="str">
        <f>TEXT(SalesData[[#This Row],[Order Date]],"mmm")</f>
        <v>Oct</v>
      </c>
      <c r="S396" s="2" t="str">
        <f>"Q"&amp;ROUNDUP(MONTH(SalesData[[#This Row],[Order Date]])/3,0)</f>
        <v>Q4</v>
      </c>
      <c r="T396">
        <f>YEAR(SalesData[[#This Row],[Order Date]])</f>
        <v>2025</v>
      </c>
      <c r="U396">
        <f>SalesData[[#This Row],[Profit]]/SalesData[[#This Row],[Sales]]</f>
        <v>0.17647058823529413</v>
      </c>
    </row>
    <row r="397" spans="1:21" x14ac:dyDescent="0.25">
      <c r="A397" t="s">
        <v>641</v>
      </c>
      <c r="B397" s="1">
        <v>45707</v>
      </c>
      <c r="C397" t="s">
        <v>277</v>
      </c>
      <c r="D397" t="s">
        <v>444</v>
      </c>
      <c r="E397" t="s">
        <v>62</v>
      </c>
      <c r="F397" t="s">
        <v>63</v>
      </c>
      <c r="G397" t="s">
        <v>64</v>
      </c>
      <c r="H397" t="s">
        <v>65</v>
      </c>
      <c r="I397" t="s">
        <v>80</v>
      </c>
      <c r="J397">
        <v>1</v>
      </c>
      <c r="K397">
        <v>8500</v>
      </c>
      <c r="L397">
        <v>0</v>
      </c>
      <c r="M397">
        <v>8500</v>
      </c>
      <c r="N397">
        <v>5950</v>
      </c>
      <c r="O397">
        <v>2550</v>
      </c>
      <c r="P397" t="s">
        <v>54</v>
      </c>
      <c r="Q397" t="s">
        <v>33</v>
      </c>
      <c r="R397" t="str">
        <f>TEXT(SalesData[[#This Row],[Order Date]],"mmm")</f>
        <v>Feb</v>
      </c>
      <c r="S397" s="2" t="str">
        <f>"Q"&amp;ROUNDUP(MONTH(SalesData[[#This Row],[Order Date]])/3,0)</f>
        <v>Q1</v>
      </c>
      <c r="T397">
        <f>YEAR(SalesData[[#This Row],[Order Date]])</f>
        <v>2025</v>
      </c>
      <c r="U397">
        <f>SalesData[[#This Row],[Profit]]/SalesData[[#This Row],[Sales]]</f>
        <v>0.3</v>
      </c>
    </row>
    <row r="398" spans="1:21" x14ac:dyDescent="0.25">
      <c r="A398" t="s">
        <v>642</v>
      </c>
      <c r="B398" s="1">
        <v>45849</v>
      </c>
      <c r="C398" t="s">
        <v>277</v>
      </c>
      <c r="D398" t="s">
        <v>69</v>
      </c>
      <c r="E398" t="s">
        <v>37</v>
      </c>
      <c r="F398" t="s">
        <v>38</v>
      </c>
      <c r="G398" t="s">
        <v>22</v>
      </c>
      <c r="H398" t="s">
        <v>46</v>
      </c>
      <c r="I398" t="s">
        <v>39</v>
      </c>
      <c r="J398">
        <v>4</v>
      </c>
      <c r="K398">
        <v>55000</v>
      </c>
      <c r="L398">
        <v>10</v>
      </c>
      <c r="M398">
        <v>198000</v>
      </c>
      <c r="N398">
        <v>154000</v>
      </c>
      <c r="O398">
        <v>44000</v>
      </c>
      <c r="P398" t="s">
        <v>54</v>
      </c>
      <c r="Q398" t="s">
        <v>26</v>
      </c>
      <c r="R398" t="str">
        <f>TEXT(SalesData[[#This Row],[Order Date]],"mmm")</f>
        <v>Jul</v>
      </c>
      <c r="S398" s="2" t="str">
        <f>"Q"&amp;ROUNDUP(MONTH(SalesData[[#This Row],[Order Date]])/3,0)</f>
        <v>Q3</v>
      </c>
      <c r="T398">
        <f>YEAR(SalesData[[#This Row],[Order Date]])</f>
        <v>2025</v>
      </c>
      <c r="U398">
        <f>SalesData[[#This Row],[Profit]]/SalesData[[#This Row],[Sales]]</f>
        <v>0.22222222222222221</v>
      </c>
    </row>
    <row r="399" spans="1:21" x14ac:dyDescent="0.25">
      <c r="A399" t="s">
        <v>643</v>
      </c>
      <c r="B399" s="1">
        <v>45726</v>
      </c>
      <c r="C399" t="s">
        <v>125</v>
      </c>
      <c r="D399" t="s">
        <v>103</v>
      </c>
      <c r="E399" t="s">
        <v>50</v>
      </c>
      <c r="F399" t="s">
        <v>51</v>
      </c>
      <c r="G399" t="s">
        <v>52</v>
      </c>
      <c r="H399" t="s">
        <v>32</v>
      </c>
      <c r="I399" t="s">
        <v>39</v>
      </c>
      <c r="J399">
        <v>4</v>
      </c>
      <c r="K399">
        <v>3200</v>
      </c>
      <c r="L399">
        <v>0</v>
      </c>
      <c r="M399">
        <v>12800</v>
      </c>
      <c r="N399">
        <v>8960</v>
      </c>
      <c r="O399">
        <v>3840</v>
      </c>
      <c r="P399" t="s">
        <v>54</v>
      </c>
      <c r="Q399" t="s">
        <v>33</v>
      </c>
      <c r="R399" t="str">
        <f>TEXT(SalesData[[#This Row],[Order Date]],"mmm")</f>
        <v>Mar</v>
      </c>
      <c r="S399" s="2" t="str">
        <f>"Q"&amp;ROUNDUP(MONTH(SalesData[[#This Row],[Order Date]])/3,0)</f>
        <v>Q1</v>
      </c>
      <c r="T399">
        <f>YEAR(SalesData[[#This Row],[Order Date]])</f>
        <v>2025</v>
      </c>
      <c r="U399">
        <f>SalesData[[#This Row],[Profit]]/SalesData[[#This Row],[Sales]]</f>
        <v>0.3</v>
      </c>
    </row>
    <row r="400" spans="1:21" x14ac:dyDescent="0.25">
      <c r="A400" t="s">
        <v>644</v>
      </c>
      <c r="B400" s="1">
        <v>45694</v>
      </c>
      <c r="C400" t="s">
        <v>74</v>
      </c>
      <c r="D400" t="s">
        <v>224</v>
      </c>
      <c r="E400" t="s">
        <v>70</v>
      </c>
      <c r="F400" t="s">
        <v>71</v>
      </c>
      <c r="G400" t="s">
        <v>22</v>
      </c>
      <c r="H400" t="s">
        <v>46</v>
      </c>
      <c r="I400" t="s">
        <v>72</v>
      </c>
      <c r="J400">
        <v>10</v>
      </c>
      <c r="K400">
        <v>1500</v>
      </c>
      <c r="L400">
        <v>10</v>
      </c>
      <c r="M400">
        <v>13500</v>
      </c>
      <c r="N400">
        <v>10500</v>
      </c>
      <c r="O400">
        <v>3000</v>
      </c>
      <c r="P400" t="s">
        <v>58</v>
      </c>
      <c r="Q400" t="s">
        <v>76</v>
      </c>
      <c r="R400" t="str">
        <f>TEXT(SalesData[[#This Row],[Order Date]],"mmm")</f>
        <v>Feb</v>
      </c>
      <c r="S400" s="2" t="str">
        <f>"Q"&amp;ROUNDUP(MONTH(SalesData[[#This Row],[Order Date]])/3,0)</f>
        <v>Q1</v>
      </c>
      <c r="T400">
        <f>YEAR(SalesData[[#This Row],[Order Date]])</f>
        <v>2025</v>
      </c>
      <c r="U400">
        <f>SalesData[[#This Row],[Profit]]/SalesData[[#This Row],[Sales]]</f>
        <v>0.22222222222222221</v>
      </c>
    </row>
    <row r="401" spans="1:21" x14ac:dyDescent="0.25">
      <c r="A401" t="s">
        <v>645</v>
      </c>
      <c r="B401" s="1">
        <v>45833</v>
      </c>
      <c r="C401" t="s">
        <v>277</v>
      </c>
      <c r="D401" t="s">
        <v>145</v>
      </c>
      <c r="E401" t="s">
        <v>37</v>
      </c>
      <c r="F401" t="s">
        <v>38</v>
      </c>
      <c r="G401" t="s">
        <v>22</v>
      </c>
      <c r="H401" t="s">
        <v>32</v>
      </c>
      <c r="I401" t="s">
        <v>39</v>
      </c>
      <c r="J401">
        <v>10</v>
      </c>
      <c r="K401">
        <v>55000</v>
      </c>
      <c r="L401">
        <v>10</v>
      </c>
      <c r="M401">
        <v>495000</v>
      </c>
      <c r="N401">
        <v>385000</v>
      </c>
      <c r="O401">
        <v>110000</v>
      </c>
      <c r="P401" t="s">
        <v>40</v>
      </c>
      <c r="Q401" t="s">
        <v>76</v>
      </c>
      <c r="R401" t="str">
        <f>TEXT(SalesData[[#This Row],[Order Date]],"mmm")</f>
        <v>Jun</v>
      </c>
      <c r="S401" s="2" t="str">
        <f>"Q"&amp;ROUNDUP(MONTH(SalesData[[#This Row],[Order Date]])/3,0)</f>
        <v>Q2</v>
      </c>
      <c r="T401">
        <f>YEAR(SalesData[[#This Row],[Order Date]])</f>
        <v>2025</v>
      </c>
      <c r="U401">
        <f>SalesData[[#This Row],[Profit]]/SalesData[[#This Row],[Sales]]</f>
        <v>0.22222222222222221</v>
      </c>
    </row>
    <row r="402" spans="1:21" x14ac:dyDescent="0.25">
      <c r="A402" t="s">
        <v>646</v>
      </c>
      <c r="B402" s="1">
        <v>45668</v>
      </c>
      <c r="C402" t="s">
        <v>476</v>
      </c>
      <c r="D402" t="s">
        <v>534</v>
      </c>
      <c r="E402" t="s">
        <v>70</v>
      </c>
      <c r="F402" t="s">
        <v>71</v>
      </c>
      <c r="G402" t="s">
        <v>22</v>
      </c>
      <c r="H402" t="s">
        <v>46</v>
      </c>
      <c r="I402" t="s">
        <v>66</v>
      </c>
      <c r="J402">
        <v>5</v>
      </c>
      <c r="K402">
        <v>1500</v>
      </c>
      <c r="L402">
        <v>10</v>
      </c>
      <c r="M402">
        <v>6750</v>
      </c>
      <c r="N402">
        <v>5250</v>
      </c>
      <c r="O402">
        <v>1500</v>
      </c>
      <c r="P402" t="s">
        <v>25</v>
      </c>
      <c r="Q402" t="s">
        <v>76</v>
      </c>
      <c r="R402" t="str">
        <f>TEXT(SalesData[[#This Row],[Order Date]],"mmm")</f>
        <v>Jan</v>
      </c>
      <c r="S402" s="2" t="str">
        <f>"Q"&amp;ROUNDUP(MONTH(SalesData[[#This Row],[Order Date]])/3,0)</f>
        <v>Q1</v>
      </c>
      <c r="T402">
        <f>YEAR(SalesData[[#This Row],[Order Date]])</f>
        <v>2025</v>
      </c>
      <c r="U402">
        <f>SalesData[[#This Row],[Profit]]/SalesData[[#This Row],[Sales]]</f>
        <v>0.22222222222222221</v>
      </c>
    </row>
    <row r="403" spans="1:21" x14ac:dyDescent="0.25">
      <c r="A403" t="s">
        <v>647</v>
      </c>
      <c r="B403" s="1">
        <v>45686</v>
      </c>
      <c r="C403" t="s">
        <v>112</v>
      </c>
      <c r="D403" t="s">
        <v>340</v>
      </c>
      <c r="E403" t="s">
        <v>62</v>
      </c>
      <c r="F403" t="s">
        <v>63</v>
      </c>
      <c r="G403" t="s">
        <v>64</v>
      </c>
      <c r="H403" t="s">
        <v>32</v>
      </c>
      <c r="I403" t="s">
        <v>66</v>
      </c>
      <c r="J403">
        <v>10</v>
      </c>
      <c r="K403">
        <v>8500</v>
      </c>
      <c r="L403">
        <v>20</v>
      </c>
      <c r="M403">
        <v>68000</v>
      </c>
      <c r="N403">
        <v>59499.999999999993</v>
      </c>
      <c r="O403">
        <v>8500.0000000000073</v>
      </c>
      <c r="P403" t="s">
        <v>54</v>
      </c>
      <c r="Q403" t="s">
        <v>26</v>
      </c>
      <c r="R403" t="str">
        <f>TEXT(SalesData[[#This Row],[Order Date]],"mmm")</f>
        <v>Jan</v>
      </c>
      <c r="S403" s="2" t="str">
        <f>"Q"&amp;ROUNDUP(MONTH(SalesData[[#This Row],[Order Date]])/3,0)</f>
        <v>Q1</v>
      </c>
      <c r="T403">
        <f>YEAR(SalesData[[#This Row],[Order Date]])</f>
        <v>2025</v>
      </c>
      <c r="U403">
        <f>SalesData[[#This Row],[Profit]]/SalesData[[#This Row],[Sales]]</f>
        <v>0.12500000000000011</v>
      </c>
    </row>
    <row r="404" spans="1:21" x14ac:dyDescent="0.25">
      <c r="A404" t="s">
        <v>648</v>
      </c>
      <c r="B404" s="1">
        <v>45871</v>
      </c>
      <c r="C404" t="s">
        <v>325</v>
      </c>
      <c r="D404" t="s">
        <v>103</v>
      </c>
      <c r="E404" t="s">
        <v>37</v>
      </c>
      <c r="F404" t="s">
        <v>38</v>
      </c>
      <c r="G404" t="s">
        <v>22</v>
      </c>
      <c r="H404" t="s">
        <v>23</v>
      </c>
      <c r="I404" t="s">
        <v>66</v>
      </c>
      <c r="J404">
        <v>3</v>
      </c>
      <c r="K404">
        <v>55000</v>
      </c>
      <c r="L404">
        <v>20</v>
      </c>
      <c r="M404">
        <v>132000</v>
      </c>
      <c r="N404">
        <v>115500</v>
      </c>
      <c r="O404">
        <v>16500.000000000011</v>
      </c>
      <c r="P404" t="s">
        <v>58</v>
      </c>
      <c r="Q404" t="s">
        <v>26</v>
      </c>
      <c r="R404" t="str">
        <f>TEXT(SalesData[[#This Row],[Order Date]],"mmm")</f>
        <v>Aug</v>
      </c>
      <c r="S404" s="2" t="str">
        <f>"Q"&amp;ROUNDUP(MONTH(SalesData[[#This Row],[Order Date]])/3,0)</f>
        <v>Q3</v>
      </c>
      <c r="T404">
        <f>YEAR(SalesData[[#This Row],[Order Date]])</f>
        <v>2025</v>
      </c>
      <c r="U404">
        <f>SalesData[[#This Row],[Profit]]/SalesData[[#This Row],[Sales]]</f>
        <v>0.12500000000000008</v>
      </c>
    </row>
    <row r="405" spans="1:21" x14ac:dyDescent="0.25">
      <c r="A405" t="s">
        <v>649</v>
      </c>
      <c r="B405" s="1">
        <v>45891</v>
      </c>
      <c r="C405" t="s">
        <v>332</v>
      </c>
      <c r="D405" t="s">
        <v>305</v>
      </c>
      <c r="E405" t="s">
        <v>30</v>
      </c>
      <c r="F405" t="s">
        <v>31</v>
      </c>
      <c r="G405" t="s">
        <v>22</v>
      </c>
      <c r="H405" t="s">
        <v>23</v>
      </c>
      <c r="I405" t="s">
        <v>24</v>
      </c>
      <c r="J405">
        <v>1</v>
      </c>
      <c r="K405">
        <v>800</v>
      </c>
      <c r="L405">
        <v>15</v>
      </c>
      <c r="M405">
        <v>680</v>
      </c>
      <c r="N405">
        <v>560</v>
      </c>
      <c r="O405">
        <v>120</v>
      </c>
      <c r="P405" t="s">
        <v>40</v>
      </c>
      <c r="Q405" t="s">
        <v>26</v>
      </c>
      <c r="R405" t="str">
        <f>TEXT(SalesData[[#This Row],[Order Date]],"mmm")</f>
        <v>Aug</v>
      </c>
      <c r="S405" s="2" t="str">
        <f>"Q"&amp;ROUNDUP(MONTH(SalesData[[#This Row],[Order Date]])/3,0)</f>
        <v>Q3</v>
      </c>
      <c r="T405">
        <f>YEAR(SalesData[[#This Row],[Order Date]])</f>
        <v>2025</v>
      </c>
      <c r="U405">
        <f>SalesData[[#This Row],[Profit]]/SalesData[[#This Row],[Sales]]</f>
        <v>0.17647058823529413</v>
      </c>
    </row>
    <row r="406" spans="1:21" x14ac:dyDescent="0.25">
      <c r="A406" t="s">
        <v>650</v>
      </c>
      <c r="B406" s="1">
        <v>45945</v>
      </c>
      <c r="C406" t="s">
        <v>18</v>
      </c>
      <c r="D406" t="s">
        <v>408</v>
      </c>
      <c r="E406" t="s">
        <v>50</v>
      </c>
      <c r="F406" t="s">
        <v>51</v>
      </c>
      <c r="G406" t="s">
        <v>52</v>
      </c>
      <c r="H406" t="s">
        <v>46</v>
      </c>
      <c r="I406" t="s">
        <v>53</v>
      </c>
      <c r="J406">
        <v>9</v>
      </c>
      <c r="K406">
        <v>3200</v>
      </c>
      <c r="L406">
        <v>10</v>
      </c>
      <c r="M406">
        <v>25920</v>
      </c>
      <c r="N406">
        <v>20160</v>
      </c>
      <c r="O406">
        <v>5760</v>
      </c>
      <c r="P406" t="s">
        <v>40</v>
      </c>
      <c r="Q406" t="s">
        <v>26</v>
      </c>
      <c r="R406" t="str">
        <f>TEXT(SalesData[[#This Row],[Order Date]],"mmm")</f>
        <v>Oct</v>
      </c>
      <c r="S406" s="2" t="str">
        <f>"Q"&amp;ROUNDUP(MONTH(SalesData[[#This Row],[Order Date]])/3,0)</f>
        <v>Q4</v>
      </c>
      <c r="T406">
        <f>YEAR(SalesData[[#This Row],[Order Date]])</f>
        <v>2025</v>
      </c>
      <c r="U406">
        <f>SalesData[[#This Row],[Profit]]/SalesData[[#This Row],[Sales]]</f>
        <v>0.22222222222222221</v>
      </c>
    </row>
    <row r="407" spans="1:21" x14ac:dyDescent="0.25">
      <c r="A407" t="s">
        <v>651</v>
      </c>
      <c r="B407" s="1">
        <v>46016</v>
      </c>
      <c r="C407" t="s">
        <v>198</v>
      </c>
      <c r="D407" t="s">
        <v>171</v>
      </c>
      <c r="E407" t="s">
        <v>62</v>
      </c>
      <c r="F407" t="s">
        <v>63</v>
      </c>
      <c r="G407" t="s">
        <v>64</v>
      </c>
      <c r="H407" t="s">
        <v>46</v>
      </c>
      <c r="I407" t="s">
        <v>72</v>
      </c>
      <c r="J407">
        <v>5</v>
      </c>
      <c r="K407">
        <v>8500</v>
      </c>
      <c r="L407">
        <v>15</v>
      </c>
      <c r="M407">
        <v>36125</v>
      </c>
      <c r="N407">
        <v>29750</v>
      </c>
      <c r="O407">
        <v>6375.0000000000036</v>
      </c>
      <c r="P407" t="s">
        <v>40</v>
      </c>
      <c r="Q407" t="s">
        <v>26</v>
      </c>
      <c r="R407" t="str">
        <f>TEXT(SalesData[[#This Row],[Order Date]],"mmm")</f>
        <v>Dec</v>
      </c>
      <c r="S407" s="2" t="str">
        <f>"Q"&amp;ROUNDUP(MONTH(SalesData[[#This Row],[Order Date]])/3,0)</f>
        <v>Q4</v>
      </c>
      <c r="T407">
        <f>YEAR(SalesData[[#This Row],[Order Date]])</f>
        <v>2025</v>
      </c>
      <c r="U407">
        <f>SalesData[[#This Row],[Profit]]/SalesData[[#This Row],[Sales]]</f>
        <v>0.17647058823529421</v>
      </c>
    </row>
    <row r="408" spans="1:21" x14ac:dyDescent="0.25">
      <c r="A408" t="s">
        <v>652</v>
      </c>
      <c r="B408" s="1">
        <v>45808</v>
      </c>
      <c r="C408" t="s">
        <v>42</v>
      </c>
      <c r="D408" t="s">
        <v>253</v>
      </c>
      <c r="E408" t="s">
        <v>50</v>
      </c>
      <c r="F408" t="s">
        <v>51</v>
      </c>
      <c r="G408" t="s">
        <v>52</v>
      </c>
      <c r="H408" t="s">
        <v>65</v>
      </c>
      <c r="I408" t="s">
        <v>72</v>
      </c>
      <c r="J408">
        <v>3</v>
      </c>
      <c r="K408">
        <v>3200</v>
      </c>
      <c r="L408">
        <v>5</v>
      </c>
      <c r="M408">
        <v>9120</v>
      </c>
      <c r="N408">
        <v>6720</v>
      </c>
      <c r="O408">
        <v>2400</v>
      </c>
      <c r="P408" t="s">
        <v>25</v>
      </c>
      <c r="Q408" t="s">
        <v>26</v>
      </c>
      <c r="R408" t="str">
        <f>TEXT(SalesData[[#This Row],[Order Date]],"mmm")</f>
        <v>May</v>
      </c>
      <c r="S408" s="2" t="str">
        <f>"Q"&amp;ROUNDUP(MONTH(SalesData[[#This Row],[Order Date]])/3,0)</f>
        <v>Q2</v>
      </c>
      <c r="T408">
        <f>YEAR(SalesData[[#This Row],[Order Date]])</f>
        <v>2025</v>
      </c>
      <c r="U408">
        <f>SalesData[[#This Row],[Profit]]/SalesData[[#This Row],[Sales]]</f>
        <v>0.26315789473684209</v>
      </c>
    </row>
    <row r="409" spans="1:21" x14ac:dyDescent="0.25">
      <c r="A409" t="s">
        <v>653</v>
      </c>
      <c r="B409" s="1">
        <v>45830</v>
      </c>
      <c r="C409" t="s">
        <v>360</v>
      </c>
      <c r="D409" t="s">
        <v>199</v>
      </c>
      <c r="E409" t="s">
        <v>62</v>
      </c>
      <c r="F409" t="s">
        <v>63</v>
      </c>
      <c r="G409" t="s">
        <v>64</v>
      </c>
      <c r="H409" t="s">
        <v>65</v>
      </c>
      <c r="I409" t="s">
        <v>39</v>
      </c>
      <c r="J409">
        <v>7</v>
      </c>
      <c r="K409">
        <v>8500</v>
      </c>
      <c r="L409">
        <v>5</v>
      </c>
      <c r="M409">
        <v>56525</v>
      </c>
      <c r="N409">
        <v>41650</v>
      </c>
      <c r="O409">
        <v>14875</v>
      </c>
      <c r="P409" t="s">
        <v>40</v>
      </c>
      <c r="Q409" t="s">
        <v>33</v>
      </c>
      <c r="R409" t="str">
        <f>TEXT(SalesData[[#This Row],[Order Date]],"mmm")</f>
        <v>Jun</v>
      </c>
      <c r="S409" s="2" t="str">
        <f>"Q"&amp;ROUNDUP(MONTH(SalesData[[#This Row],[Order Date]])/3,0)</f>
        <v>Q2</v>
      </c>
      <c r="T409">
        <f>YEAR(SalesData[[#This Row],[Order Date]])</f>
        <v>2025</v>
      </c>
      <c r="U409">
        <f>SalesData[[#This Row],[Profit]]/SalesData[[#This Row],[Sales]]</f>
        <v>0.26315789473684209</v>
      </c>
    </row>
    <row r="410" spans="1:21" x14ac:dyDescent="0.25">
      <c r="A410" t="s">
        <v>654</v>
      </c>
      <c r="B410" s="1">
        <v>45910</v>
      </c>
      <c r="C410" t="s">
        <v>466</v>
      </c>
      <c r="D410" t="s">
        <v>204</v>
      </c>
      <c r="E410" t="s">
        <v>44</v>
      </c>
      <c r="F410" t="s">
        <v>45</v>
      </c>
      <c r="G410" t="s">
        <v>22</v>
      </c>
      <c r="H410" t="s">
        <v>23</v>
      </c>
      <c r="I410" t="s">
        <v>66</v>
      </c>
      <c r="J410">
        <v>5</v>
      </c>
      <c r="K410">
        <v>9500</v>
      </c>
      <c r="L410">
        <v>5</v>
      </c>
      <c r="M410">
        <v>45125</v>
      </c>
      <c r="N410">
        <v>33250</v>
      </c>
      <c r="O410">
        <v>11875</v>
      </c>
      <c r="P410" t="s">
        <v>58</v>
      </c>
      <c r="Q410" t="s">
        <v>76</v>
      </c>
      <c r="R410" t="str">
        <f>TEXT(SalesData[[#This Row],[Order Date]],"mmm")</f>
        <v>Sep</v>
      </c>
      <c r="S410" s="2" t="str">
        <f>"Q"&amp;ROUNDUP(MONTH(SalesData[[#This Row],[Order Date]])/3,0)</f>
        <v>Q3</v>
      </c>
      <c r="T410">
        <f>YEAR(SalesData[[#This Row],[Order Date]])</f>
        <v>2025</v>
      </c>
      <c r="U410">
        <f>SalesData[[#This Row],[Profit]]/SalesData[[#This Row],[Sales]]</f>
        <v>0.26315789473684209</v>
      </c>
    </row>
    <row r="411" spans="1:21" x14ac:dyDescent="0.25">
      <c r="A411" t="s">
        <v>655</v>
      </c>
      <c r="B411" s="1">
        <v>45673</v>
      </c>
      <c r="C411" t="s">
        <v>121</v>
      </c>
      <c r="D411" t="s">
        <v>258</v>
      </c>
      <c r="E411" t="s">
        <v>50</v>
      </c>
      <c r="F411" t="s">
        <v>51</v>
      </c>
      <c r="G411" t="s">
        <v>52</v>
      </c>
      <c r="H411" t="s">
        <v>32</v>
      </c>
      <c r="I411" t="s">
        <v>66</v>
      </c>
      <c r="J411">
        <v>9</v>
      </c>
      <c r="K411">
        <v>3200</v>
      </c>
      <c r="L411">
        <v>0</v>
      </c>
      <c r="M411">
        <v>28800</v>
      </c>
      <c r="N411">
        <v>20160</v>
      </c>
      <c r="O411">
        <v>8640</v>
      </c>
      <c r="P411" t="s">
        <v>25</v>
      </c>
      <c r="Q411" t="s">
        <v>33</v>
      </c>
      <c r="R411" t="str">
        <f>TEXT(SalesData[[#This Row],[Order Date]],"mmm")</f>
        <v>Jan</v>
      </c>
      <c r="S411" s="2" t="str">
        <f>"Q"&amp;ROUNDUP(MONTH(SalesData[[#This Row],[Order Date]])/3,0)</f>
        <v>Q1</v>
      </c>
      <c r="T411">
        <f>YEAR(SalesData[[#This Row],[Order Date]])</f>
        <v>2025</v>
      </c>
      <c r="U411">
        <f>SalesData[[#This Row],[Profit]]/SalesData[[#This Row],[Sales]]</f>
        <v>0.3</v>
      </c>
    </row>
    <row r="412" spans="1:21" x14ac:dyDescent="0.25">
      <c r="A412" t="s">
        <v>656</v>
      </c>
      <c r="B412" s="1">
        <v>45879</v>
      </c>
      <c r="C412" t="s">
        <v>232</v>
      </c>
      <c r="D412" t="s">
        <v>196</v>
      </c>
      <c r="E412" t="s">
        <v>30</v>
      </c>
      <c r="F412" t="s">
        <v>31</v>
      </c>
      <c r="G412" t="s">
        <v>22</v>
      </c>
      <c r="H412" t="s">
        <v>32</v>
      </c>
      <c r="I412" t="s">
        <v>66</v>
      </c>
      <c r="J412">
        <v>3</v>
      </c>
      <c r="K412">
        <v>800</v>
      </c>
      <c r="L412">
        <v>5</v>
      </c>
      <c r="M412">
        <v>2280</v>
      </c>
      <c r="N412">
        <v>1680</v>
      </c>
      <c r="O412">
        <v>600</v>
      </c>
      <c r="P412" t="s">
        <v>40</v>
      </c>
      <c r="Q412" t="s">
        <v>76</v>
      </c>
      <c r="R412" t="str">
        <f>TEXT(SalesData[[#This Row],[Order Date]],"mmm")</f>
        <v>Aug</v>
      </c>
      <c r="S412" s="2" t="str">
        <f>"Q"&amp;ROUNDUP(MONTH(SalesData[[#This Row],[Order Date]])/3,0)</f>
        <v>Q3</v>
      </c>
      <c r="T412">
        <f>YEAR(SalesData[[#This Row],[Order Date]])</f>
        <v>2025</v>
      </c>
      <c r="U412">
        <f>SalesData[[#This Row],[Profit]]/SalesData[[#This Row],[Sales]]</f>
        <v>0.26315789473684209</v>
      </c>
    </row>
    <row r="413" spans="1:21" x14ac:dyDescent="0.25">
      <c r="A413" t="s">
        <v>657</v>
      </c>
      <c r="B413" s="1">
        <v>45767</v>
      </c>
      <c r="C413" t="s">
        <v>152</v>
      </c>
      <c r="D413" t="s">
        <v>352</v>
      </c>
      <c r="E413" t="s">
        <v>37</v>
      </c>
      <c r="F413" t="s">
        <v>38</v>
      </c>
      <c r="G413" t="s">
        <v>22</v>
      </c>
      <c r="H413" t="s">
        <v>32</v>
      </c>
      <c r="I413" t="s">
        <v>53</v>
      </c>
      <c r="J413">
        <v>7</v>
      </c>
      <c r="K413">
        <v>55000</v>
      </c>
      <c r="L413">
        <v>0</v>
      </c>
      <c r="M413">
        <v>385000</v>
      </c>
      <c r="N413">
        <v>269500</v>
      </c>
      <c r="O413">
        <v>115500</v>
      </c>
      <c r="P413" t="s">
        <v>40</v>
      </c>
      <c r="Q413" t="s">
        <v>76</v>
      </c>
      <c r="R413" t="str">
        <f>TEXT(SalesData[[#This Row],[Order Date]],"mmm")</f>
        <v>Apr</v>
      </c>
      <c r="S413" s="2" t="str">
        <f>"Q"&amp;ROUNDUP(MONTH(SalesData[[#This Row],[Order Date]])/3,0)</f>
        <v>Q2</v>
      </c>
      <c r="T413">
        <f>YEAR(SalesData[[#This Row],[Order Date]])</f>
        <v>2025</v>
      </c>
      <c r="U413">
        <f>SalesData[[#This Row],[Profit]]/SalesData[[#This Row],[Sales]]</f>
        <v>0.3</v>
      </c>
    </row>
    <row r="414" spans="1:21" x14ac:dyDescent="0.25">
      <c r="A414" t="s">
        <v>658</v>
      </c>
      <c r="B414" s="1">
        <v>45990</v>
      </c>
      <c r="C414" t="s">
        <v>150</v>
      </c>
      <c r="D414" t="s">
        <v>196</v>
      </c>
      <c r="E414" t="s">
        <v>30</v>
      </c>
      <c r="F414" t="s">
        <v>31</v>
      </c>
      <c r="G414" t="s">
        <v>22</v>
      </c>
      <c r="H414" t="s">
        <v>65</v>
      </c>
      <c r="I414" t="s">
        <v>24</v>
      </c>
      <c r="J414">
        <v>8</v>
      </c>
      <c r="K414">
        <v>800</v>
      </c>
      <c r="L414">
        <v>0</v>
      </c>
      <c r="M414">
        <v>6400</v>
      </c>
      <c r="N414">
        <v>4480</v>
      </c>
      <c r="O414">
        <v>1920</v>
      </c>
      <c r="P414" t="s">
        <v>25</v>
      </c>
      <c r="Q414" t="s">
        <v>33</v>
      </c>
      <c r="R414" t="str">
        <f>TEXT(SalesData[[#This Row],[Order Date]],"mmm")</f>
        <v>Nov</v>
      </c>
      <c r="S414" s="2" t="str">
        <f>"Q"&amp;ROUNDUP(MONTH(SalesData[[#This Row],[Order Date]])/3,0)</f>
        <v>Q4</v>
      </c>
      <c r="T414">
        <f>YEAR(SalesData[[#This Row],[Order Date]])</f>
        <v>2025</v>
      </c>
      <c r="U414">
        <f>SalesData[[#This Row],[Profit]]/SalesData[[#This Row],[Sales]]</f>
        <v>0.3</v>
      </c>
    </row>
    <row r="415" spans="1:21" x14ac:dyDescent="0.25">
      <c r="A415" t="s">
        <v>659</v>
      </c>
      <c r="B415" s="1">
        <v>45939</v>
      </c>
      <c r="C415" t="s">
        <v>315</v>
      </c>
      <c r="D415" t="s">
        <v>240</v>
      </c>
      <c r="E415" t="s">
        <v>30</v>
      </c>
      <c r="F415" t="s">
        <v>31</v>
      </c>
      <c r="G415" t="s">
        <v>22</v>
      </c>
      <c r="H415" t="s">
        <v>23</v>
      </c>
      <c r="I415" t="s">
        <v>72</v>
      </c>
      <c r="J415">
        <v>4</v>
      </c>
      <c r="K415">
        <v>800</v>
      </c>
      <c r="L415">
        <v>15</v>
      </c>
      <c r="M415">
        <v>2720</v>
      </c>
      <c r="N415">
        <v>2240</v>
      </c>
      <c r="O415">
        <v>480</v>
      </c>
      <c r="P415" t="s">
        <v>58</v>
      </c>
      <c r="Q415" t="s">
        <v>76</v>
      </c>
      <c r="R415" t="str">
        <f>TEXT(SalesData[[#This Row],[Order Date]],"mmm")</f>
        <v>Oct</v>
      </c>
      <c r="S415" s="2" t="str">
        <f>"Q"&amp;ROUNDUP(MONTH(SalesData[[#This Row],[Order Date]])/3,0)</f>
        <v>Q4</v>
      </c>
      <c r="T415">
        <f>YEAR(SalesData[[#This Row],[Order Date]])</f>
        <v>2025</v>
      </c>
      <c r="U415">
        <f>SalesData[[#This Row],[Profit]]/SalesData[[#This Row],[Sales]]</f>
        <v>0.17647058823529413</v>
      </c>
    </row>
    <row r="416" spans="1:21" x14ac:dyDescent="0.25">
      <c r="A416" t="s">
        <v>660</v>
      </c>
      <c r="B416" s="1">
        <v>45908</v>
      </c>
      <c r="C416" t="s">
        <v>48</v>
      </c>
      <c r="D416" t="s">
        <v>285</v>
      </c>
      <c r="E416" t="s">
        <v>44</v>
      </c>
      <c r="F416" t="s">
        <v>45</v>
      </c>
      <c r="G416" t="s">
        <v>22</v>
      </c>
      <c r="H416" t="s">
        <v>46</v>
      </c>
      <c r="I416" t="s">
        <v>24</v>
      </c>
      <c r="J416">
        <v>1</v>
      </c>
      <c r="K416">
        <v>9500</v>
      </c>
      <c r="L416">
        <v>0</v>
      </c>
      <c r="M416">
        <v>9500</v>
      </c>
      <c r="N416">
        <v>6650</v>
      </c>
      <c r="O416">
        <v>2850</v>
      </c>
      <c r="P416" t="s">
        <v>54</v>
      </c>
      <c r="Q416" t="s">
        <v>76</v>
      </c>
      <c r="R416" t="str">
        <f>TEXT(SalesData[[#This Row],[Order Date]],"mmm")</f>
        <v>Sep</v>
      </c>
      <c r="S416" s="2" t="str">
        <f>"Q"&amp;ROUNDUP(MONTH(SalesData[[#This Row],[Order Date]])/3,0)</f>
        <v>Q3</v>
      </c>
      <c r="T416">
        <f>YEAR(SalesData[[#This Row],[Order Date]])</f>
        <v>2025</v>
      </c>
      <c r="U416">
        <f>SalesData[[#This Row],[Profit]]/SalesData[[#This Row],[Sales]]</f>
        <v>0.3</v>
      </c>
    </row>
    <row r="417" spans="1:21" x14ac:dyDescent="0.25">
      <c r="A417" t="s">
        <v>661</v>
      </c>
      <c r="B417" s="1">
        <v>45736</v>
      </c>
      <c r="C417" t="s">
        <v>42</v>
      </c>
      <c r="D417" t="s">
        <v>89</v>
      </c>
      <c r="E417" t="s">
        <v>30</v>
      </c>
      <c r="F417" t="s">
        <v>31</v>
      </c>
      <c r="G417" t="s">
        <v>22</v>
      </c>
      <c r="H417" t="s">
        <v>23</v>
      </c>
      <c r="I417" t="s">
        <v>72</v>
      </c>
      <c r="J417">
        <v>6</v>
      </c>
      <c r="K417">
        <v>800</v>
      </c>
      <c r="L417">
        <v>15</v>
      </c>
      <c r="M417">
        <v>4080</v>
      </c>
      <c r="N417">
        <v>3360</v>
      </c>
      <c r="O417">
        <v>720</v>
      </c>
      <c r="P417" t="s">
        <v>40</v>
      </c>
      <c r="Q417" t="s">
        <v>26</v>
      </c>
      <c r="R417" t="str">
        <f>TEXT(SalesData[[#This Row],[Order Date]],"mmm")</f>
        <v>Mar</v>
      </c>
      <c r="S417" s="2" t="str">
        <f>"Q"&amp;ROUNDUP(MONTH(SalesData[[#This Row],[Order Date]])/3,0)</f>
        <v>Q1</v>
      </c>
      <c r="T417">
        <f>YEAR(SalesData[[#This Row],[Order Date]])</f>
        <v>2025</v>
      </c>
      <c r="U417">
        <f>SalesData[[#This Row],[Profit]]/SalesData[[#This Row],[Sales]]</f>
        <v>0.17647058823529413</v>
      </c>
    </row>
    <row r="418" spans="1:21" x14ac:dyDescent="0.25">
      <c r="A418" t="s">
        <v>662</v>
      </c>
      <c r="B418" s="1">
        <v>45956</v>
      </c>
      <c r="C418" t="s">
        <v>234</v>
      </c>
      <c r="D418" t="s">
        <v>69</v>
      </c>
      <c r="E418" t="s">
        <v>93</v>
      </c>
      <c r="F418" t="s">
        <v>94</v>
      </c>
      <c r="G418" t="s">
        <v>64</v>
      </c>
      <c r="H418" t="s">
        <v>32</v>
      </c>
      <c r="I418" t="s">
        <v>66</v>
      </c>
      <c r="J418">
        <v>3</v>
      </c>
      <c r="K418">
        <v>4500</v>
      </c>
      <c r="L418">
        <v>15</v>
      </c>
      <c r="M418">
        <v>11475</v>
      </c>
      <c r="N418">
        <v>9450</v>
      </c>
      <c r="O418">
        <v>2025</v>
      </c>
      <c r="P418" t="s">
        <v>25</v>
      </c>
      <c r="Q418" t="s">
        <v>33</v>
      </c>
      <c r="R418" t="str">
        <f>TEXT(SalesData[[#This Row],[Order Date]],"mmm")</f>
        <v>Oct</v>
      </c>
      <c r="S418" s="2" t="str">
        <f>"Q"&amp;ROUNDUP(MONTH(SalesData[[#This Row],[Order Date]])/3,0)</f>
        <v>Q4</v>
      </c>
      <c r="T418">
        <f>YEAR(SalesData[[#This Row],[Order Date]])</f>
        <v>2025</v>
      </c>
      <c r="U418">
        <f>SalesData[[#This Row],[Profit]]/SalesData[[#This Row],[Sales]]</f>
        <v>0.17647058823529413</v>
      </c>
    </row>
    <row r="419" spans="1:21" x14ac:dyDescent="0.25">
      <c r="A419" t="s">
        <v>663</v>
      </c>
      <c r="B419" s="1">
        <v>45854</v>
      </c>
      <c r="C419" t="s">
        <v>348</v>
      </c>
      <c r="D419" t="s">
        <v>164</v>
      </c>
      <c r="E419" t="s">
        <v>70</v>
      </c>
      <c r="F419" t="s">
        <v>71</v>
      </c>
      <c r="G419" t="s">
        <v>22</v>
      </c>
      <c r="H419" t="s">
        <v>65</v>
      </c>
      <c r="I419" t="s">
        <v>24</v>
      </c>
      <c r="J419">
        <v>7</v>
      </c>
      <c r="K419">
        <v>1500</v>
      </c>
      <c r="L419">
        <v>15</v>
      </c>
      <c r="M419">
        <v>8925</v>
      </c>
      <c r="N419">
        <v>7349.9999999999991</v>
      </c>
      <c r="O419">
        <v>1575.0000000000009</v>
      </c>
      <c r="P419" t="s">
        <v>54</v>
      </c>
      <c r="Q419" t="s">
        <v>33</v>
      </c>
      <c r="R419" t="str">
        <f>TEXT(SalesData[[#This Row],[Order Date]],"mmm")</f>
        <v>Jul</v>
      </c>
      <c r="S419" s="2" t="str">
        <f>"Q"&amp;ROUNDUP(MONTH(SalesData[[#This Row],[Order Date]])/3,0)</f>
        <v>Q3</v>
      </c>
      <c r="T419">
        <f>YEAR(SalesData[[#This Row],[Order Date]])</f>
        <v>2025</v>
      </c>
      <c r="U419">
        <f>SalesData[[#This Row],[Profit]]/SalesData[[#This Row],[Sales]]</f>
        <v>0.17647058823529421</v>
      </c>
    </row>
    <row r="420" spans="1:21" x14ac:dyDescent="0.25">
      <c r="A420" t="s">
        <v>664</v>
      </c>
      <c r="B420" s="1">
        <v>45944</v>
      </c>
      <c r="C420" t="s">
        <v>132</v>
      </c>
      <c r="D420" t="s">
        <v>665</v>
      </c>
      <c r="E420" t="s">
        <v>37</v>
      </c>
      <c r="F420" t="s">
        <v>38</v>
      </c>
      <c r="G420" t="s">
        <v>22</v>
      </c>
      <c r="H420" t="s">
        <v>32</v>
      </c>
      <c r="I420" t="s">
        <v>72</v>
      </c>
      <c r="J420">
        <v>4</v>
      </c>
      <c r="K420">
        <v>55000</v>
      </c>
      <c r="L420">
        <v>15</v>
      </c>
      <c r="M420">
        <v>187000</v>
      </c>
      <c r="N420">
        <v>154000</v>
      </c>
      <c r="O420">
        <v>33000</v>
      </c>
      <c r="P420" t="s">
        <v>25</v>
      </c>
      <c r="Q420" t="s">
        <v>26</v>
      </c>
      <c r="R420" t="str">
        <f>TEXT(SalesData[[#This Row],[Order Date]],"mmm")</f>
        <v>Oct</v>
      </c>
      <c r="S420" s="2" t="str">
        <f>"Q"&amp;ROUNDUP(MONTH(SalesData[[#This Row],[Order Date]])/3,0)</f>
        <v>Q4</v>
      </c>
      <c r="T420">
        <f>YEAR(SalesData[[#This Row],[Order Date]])</f>
        <v>2025</v>
      </c>
      <c r="U420">
        <f>SalesData[[#This Row],[Profit]]/SalesData[[#This Row],[Sales]]</f>
        <v>0.17647058823529413</v>
      </c>
    </row>
    <row r="421" spans="1:21" x14ac:dyDescent="0.25">
      <c r="A421" t="s">
        <v>666</v>
      </c>
      <c r="B421" s="1">
        <v>45944</v>
      </c>
      <c r="C421" t="s">
        <v>198</v>
      </c>
      <c r="D421" t="s">
        <v>496</v>
      </c>
      <c r="E421" t="s">
        <v>70</v>
      </c>
      <c r="F421" t="s">
        <v>71</v>
      </c>
      <c r="G421" t="s">
        <v>22</v>
      </c>
      <c r="H421" t="s">
        <v>46</v>
      </c>
      <c r="I421" t="s">
        <v>72</v>
      </c>
      <c r="J421">
        <v>9</v>
      </c>
      <c r="K421">
        <v>1500</v>
      </c>
      <c r="L421">
        <v>10</v>
      </c>
      <c r="M421">
        <v>12150</v>
      </c>
      <c r="N421">
        <v>9450</v>
      </c>
      <c r="O421">
        <v>2700</v>
      </c>
      <c r="P421" t="s">
        <v>40</v>
      </c>
      <c r="Q421" t="s">
        <v>76</v>
      </c>
      <c r="R421" t="str">
        <f>TEXT(SalesData[[#This Row],[Order Date]],"mmm")</f>
        <v>Oct</v>
      </c>
      <c r="S421" s="2" t="str">
        <f>"Q"&amp;ROUNDUP(MONTH(SalesData[[#This Row],[Order Date]])/3,0)</f>
        <v>Q4</v>
      </c>
      <c r="T421">
        <f>YEAR(SalesData[[#This Row],[Order Date]])</f>
        <v>2025</v>
      </c>
      <c r="U421">
        <f>SalesData[[#This Row],[Profit]]/SalesData[[#This Row],[Sales]]</f>
        <v>0.22222222222222221</v>
      </c>
    </row>
    <row r="422" spans="1:21" x14ac:dyDescent="0.25">
      <c r="A422" t="s">
        <v>667</v>
      </c>
      <c r="B422" s="1">
        <v>45894</v>
      </c>
      <c r="C422" t="s">
        <v>291</v>
      </c>
      <c r="D422" t="s">
        <v>389</v>
      </c>
      <c r="E422" t="s">
        <v>20</v>
      </c>
      <c r="F422" t="s">
        <v>21</v>
      </c>
      <c r="G422" t="s">
        <v>22</v>
      </c>
      <c r="H422" t="s">
        <v>23</v>
      </c>
      <c r="I422" t="s">
        <v>80</v>
      </c>
      <c r="J422">
        <v>3</v>
      </c>
      <c r="K422">
        <v>3500</v>
      </c>
      <c r="L422">
        <v>15</v>
      </c>
      <c r="M422">
        <v>8925</v>
      </c>
      <c r="N422">
        <v>7349.9999999999991</v>
      </c>
      <c r="O422">
        <v>1575.0000000000009</v>
      </c>
      <c r="P422" t="s">
        <v>40</v>
      </c>
      <c r="Q422" t="s">
        <v>26</v>
      </c>
      <c r="R422" t="str">
        <f>TEXT(SalesData[[#This Row],[Order Date]],"mmm")</f>
        <v>Aug</v>
      </c>
      <c r="S422" s="2" t="str">
        <f>"Q"&amp;ROUNDUP(MONTH(SalesData[[#This Row],[Order Date]])/3,0)</f>
        <v>Q3</v>
      </c>
      <c r="T422">
        <f>YEAR(SalesData[[#This Row],[Order Date]])</f>
        <v>2025</v>
      </c>
      <c r="U422">
        <f>SalesData[[#This Row],[Profit]]/SalesData[[#This Row],[Sales]]</f>
        <v>0.17647058823529421</v>
      </c>
    </row>
    <row r="423" spans="1:21" x14ac:dyDescent="0.25">
      <c r="A423" t="s">
        <v>668</v>
      </c>
      <c r="B423" s="1">
        <v>45904</v>
      </c>
      <c r="C423" t="s">
        <v>190</v>
      </c>
      <c r="D423" t="s">
        <v>394</v>
      </c>
      <c r="E423" t="s">
        <v>37</v>
      </c>
      <c r="F423" t="s">
        <v>38</v>
      </c>
      <c r="G423" t="s">
        <v>22</v>
      </c>
      <c r="H423" t="s">
        <v>65</v>
      </c>
      <c r="I423" t="s">
        <v>80</v>
      </c>
      <c r="J423">
        <v>5</v>
      </c>
      <c r="K423">
        <v>55000</v>
      </c>
      <c r="L423">
        <v>15</v>
      </c>
      <c r="M423">
        <v>233750</v>
      </c>
      <c r="N423">
        <v>192500</v>
      </c>
      <c r="O423">
        <v>41250</v>
      </c>
      <c r="P423" t="s">
        <v>54</v>
      </c>
      <c r="Q423" t="s">
        <v>33</v>
      </c>
      <c r="R423" t="str">
        <f>TEXT(SalesData[[#This Row],[Order Date]],"mmm")</f>
        <v>Sep</v>
      </c>
      <c r="S423" s="2" t="str">
        <f>"Q"&amp;ROUNDUP(MONTH(SalesData[[#This Row],[Order Date]])/3,0)</f>
        <v>Q3</v>
      </c>
      <c r="T423">
        <f>YEAR(SalesData[[#This Row],[Order Date]])</f>
        <v>2025</v>
      </c>
      <c r="U423">
        <f>SalesData[[#This Row],[Profit]]/SalesData[[#This Row],[Sales]]</f>
        <v>0.17647058823529413</v>
      </c>
    </row>
    <row r="424" spans="1:21" x14ac:dyDescent="0.25">
      <c r="A424" t="s">
        <v>669</v>
      </c>
      <c r="B424" s="1">
        <v>45887</v>
      </c>
      <c r="C424" t="s">
        <v>291</v>
      </c>
      <c r="D424" t="s">
        <v>670</v>
      </c>
      <c r="E424" t="s">
        <v>37</v>
      </c>
      <c r="F424" t="s">
        <v>38</v>
      </c>
      <c r="G424" t="s">
        <v>22</v>
      </c>
      <c r="H424" t="s">
        <v>46</v>
      </c>
      <c r="I424" t="s">
        <v>53</v>
      </c>
      <c r="J424">
        <v>5</v>
      </c>
      <c r="K424">
        <v>55000</v>
      </c>
      <c r="L424">
        <v>15</v>
      </c>
      <c r="M424">
        <v>233750</v>
      </c>
      <c r="N424">
        <v>192500</v>
      </c>
      <c r="O424">
        <v>41250</v>
      </c>
      <c r="P424" t="s">
        <v>58</v>
      </c>
      <c r="Q424" t="s">
        <v>76</v>
      </c>
      <c r="R424" t="str">
        <f>TEXT(SalesData[[#This Row],[Order Date]],"mmm")</f>
        <v>Aug</v>
      </c>
      <c r="S424" s="2" t="str">
        <f>"Q"&amp;ROUNDUP(MONTH(SalesData[[#This Row],[Order Date]])/3,0)</f>
        <v>Q3</v>
      </c>
      <c r="T424">
        <f>YEAR(SalesData[[#This Row],[Order Date]])</f>
        <v>2025</v>
      </c>
      <c r="U424">
        <f>SalesData[[#This Row],[Profit]]/SalesData[[#This Row],[Sales]]</f>
        <v>0.17647058823529413</v>
      </c>
    </row>
    <row r="425" spans="1:21" x14ac:dyDescent="0.25">
      <c r="A425" t="s">
        <v>671</v>
      </c>
      <c r="B425" s="1">
        <v>45684</v>
      </c>
      <c r="C425" t="s">
        <v>302</v>
      </c>
      <c r="D425" t="s">
        <v>128</v>
      </c>
      <c r="E425" t="s">
        <v>20</v>
      </c>
      <c r="F425" t="s">
        <v>21</v>
      </c>
      <c r="G425" t="s">
        <v>22</v>
      </c>
      <c r="H425" t="s">
        <v>32</v>
      </c>
      <c r="I425" t="s">
        <v>80</v>
      </c>
      <c r="J425">
        <v>1</v>
      </c>
      <c r="K425">
        <v>3500</v>
      </c>
      <c r="L425">
        <v>10</v>
      </c>
      <c r="M425">
        <v>3150</v>
      </c>
      <c r="N425">
        <v>2450</v>
      </c>
      <c r="O425">
        <v>700</v>
      </c>
      <c r="P425" t="s">
        <v>54</v>
      </c>
      <c r="Q425" t="s">
        <v>26</v>
      </c>
      <c r="R425" t="str">
        <f>TEXT(SalesData[[#This Row],[Order Date]],"mmm")</f>
        <v>Jan</v>
      </c>
      <c r="S425" s="2" t="str">
        <f>"Q"&amp;ROUNDUP(MONTH(SalesData[[#This Row],[Order Date]])/3,0)</f>
        <v>Q1</v>
      </c>
      <c r="T425">
        <f>YEAR(SalesData[[#This Row],[Order Date]])</f>
        <v>2025</v>
      </c>
      <c r="U425">
        <f>SalesData[[#This Row],[Profit]]/SalesData[[#This Row],[Sales]]</f>
        <v>0.22222222222222221</v>
      </c>
    </row>
    <row r="426" spans="1:21" x14ac:dyDescent="0.25">
      <c r="A426" t="s">
        <v>672</v>
      </c>
      <c r="B426" s="1">
        <v>45997</v>
      </c>
      <c r="C426" t="s">
        <v>381</v>
      </c>
      <c r="D426" t="s">
        <v>97</v>
      </c>
      <c r="E426" t="s">
        <v>37</v>
      </c>
      <c r="F426" t="s">
        <v>38</v>
      </c>
      <c r="G426" t="s">
        <v>22</v>
      </c>
      <c r="H426" t="s">
        <v>23</v>
      </c>
      <c r="I426" t="s">
        <v>72</v>
      </c>
      <c r="J426">
        <v>1</v>
      </c>
      <c r="K426">
        <v>55000</v>
      </c>
      <c r="L426">
        <v>10</v>
      </c>
      <c r="M426">
        <v>49500</v>
      </c>
      <c r="N426">
        <v>38500</v>
      </c>
      <c r="O426">
        <v>11000</v>
      </c>
      <c r="P426" t="s">
        <v>54</v>
      </c>
      <c r="Q426" t="s">
        <v>33</v>
      </c>
      <c r="R426" t="str">
        <f>TEXT(SalesData[[#This Row],[Order Date]],"mmm")</f>
        <v>Dec</v>
      </c>
      <c r="S426" s="2" t="str">
        <f>"Q"&amp;ROUNDUP(MONTH(SalesData[[#This Row],[Order Date]])/3,0)</f>
        <v>Q4</v>
      </c>
      <c r="T426">
        <f>YEAR(SalesData[[#This Row],[Order Date]])</f>
        <v>2025</v>
      </c>
      <c r="U426">
        <f>SalesData[[#This Row],[Profit]]/SalesData[[#This Row],[Sales]]</f>
        <v>0.22222222222222221</v>
      </c>
    </row>
    <row r="427" spans="1:21" x14ac:dyDescent="0.25">
      <c r="A427" t="s">
        <v>673</v>
      </c>
      <c r="B427" s="1">
        <v>45853</v>
      </c>
      <c r="C427" t="s">
        <v>370</v>
      </c>
      <c r="D427" t="s">
        <v>444</v>
      </c>
      <c r="E427" t="s">
        <v>70</v>
      </c>
      <c r="F427" t="s">
        <v>71</v>
      </c>
      <c r="G427" t="s">
        <v>22</v>
      </c>
      <c r="H427" t="s">
        <v>46</v>
      </c>
      <c r="I427" t="s">
        <v>66</v>
      </c>
      <c r="J427">
        <v>8</v>
      </c>
      <c r="K427">
        <v>1500</v>
      </c>
      <c r="L427">
        <v>10</v>
      </c>
      <c r="M427">
        <v>10800</v>
      </c>
      <c r="N427">
        <v>8400</v>
      </c>
      <c r="O427">
        <v>2400</v>
      </c>
      <c r="P427" t="s">
        <v>58</v>
      </c>
      <c r="Q427" t="s">
        <v>33</v>
      </c>
      <c r="R427" t="str">
        <f>TEXT(SalesData[[#This Row],[Order Date]],"mmm")</f>
        <v>Jul</v>
      </c>
      <c r="S427" s="2" t="str">
        <f>"Q"&amp;ROUNDUP(MONTH(SalesData[[#This Row],[Order Date]])/3,0)</f>
        <v>Q3</v>
      </c>
      <c r="T427">
        <f>YEAR(SalesData[[#This Row],[Order Date]])</f>
        <v>2025</v>
      </c>
      <c r="U427">
        <f>SalesData[[#This Row],[Profit]]/SalesData[[#This Row],[Sales]]</f>
        <v>0.22222222222222221</v>
      </c>
    </row>
    <row r="428" spans="1:21" x14ac:dyDescent="0.25">
      <c r="A428" t="s">
        <v>674</v>
      </c>
      <c r="B428" s="1">
        <v>45762</v>
      </c>
      <c r="C428" t="s">
        <v>476</v>
      </c>
      <c r="D428" t="s">
        <v>281</v>
      </c>
      <c r="E428" t="s">
        <v>30</v>
      </c>
      <c r="F428" t="s">
        <v>31</v>
      </c>
      <c r="G428" t="s">
        <v>22</v>
      </c>
      <c r="H428" t="s">
        <v>23</v>
      </c>
      <c r="I428" t="s">
        <v>80</v>
      </c>
      <c r="J428">
        <v>4</v>
      </c>
      <c r="K428">
        <v>800</v>
      </c>
      <c r="L428">
        <v>0</v>
      </c>
      <c r="M428">
        <v>3200</v>
      </c>
      <c r="N428">
        <v>2240</v>
      </c>
      <c r="O428">
        <v>960</v>
      </c>
      <c r="P428" t="s">
        <v>58</v>
      </c>
      <c r="Q428" t="s">
        <v>33</v>
      </c>
      <c r="R428" t="str">
        <f>TEXT(SalesData[[#This Row],[Order Date]],"mmm")</f>
        <v>Apr</v>
      </c>
      <c r="S428" s="2" t="str">
        <f>"Q"&amp;ROUNDUP(MONTH(SalesData[[#This Row],[Order Date]])/3,0)</f>
        <v>Q2</v>
      </c>
      <c r="T428">
        <f>YEAR(SalesData[[#This Row],[Order Date]])</f>
        <v>2025</v>
      </c>
      <c r="U428">
        <f>SalesData[[#This Row],[Profit]]/SalesData[[#This Row],[Sales]]</f>
        <v>0.3</v>
      </c>
    </row>
    <row r="429" spans="1:21" x14ac:dyDescent="0.25">
      <c r="A429" t="s">
        <v>675</v>
      </c>
      <c r="B429" s="1">
        <v>45776</v>
      </c>
      <c r="C429" t="s">
        <v>676</v>
      </c>
      <c r="D429" t="s">
        <v>83</v>
      </c>
      <c r="E429" t="s">
        <v>62</v>
      </c>
      <c r="F429" t="s">
        <v>63</v>
      </c>
      <c r="G429" t="s">
        <v>64</v>
      </c>
      <c r="H429" t="s">
        <v>46</v>
      </c>
      <c r="I429" t="s">
        <v>66</v>
      </c>
      <c r="J429">
        <v>4</v>
      </c>
      <c r="K429">
        <v>8500</v>
      </c>
      <c r="L429">
        <v>5</v>
      </c>
      <c r="M429">
        <v>32300</v>
      </c>
      <c r="N429">
        <v>23800</v>
      </c>
      <c r="O429">
        <v>8500</v>
      </c>
      <c r="P429" t="s">
        <v>25</v>
      </c>
      <c r="Q429" t="s">
        <v>26</v>
      </c>
      <c r="R429" t="str">
        <f>TEXT(SalesData[[#This Row],[Order Date]],"mmm")</f>
        <v>Apr</v>
      </c>
      <c r="S429" s="2" t="str">
        <f>"Q"&amp;ROUNDUP(MONTH(SalesData[[#This Row],[Order Date]])/3,0)</f>
        <v>Q2</v>
      </c>
      <c r="T429">
        <f>YEAR(SalesData[[#This Row],[Order Date]])</f>
        <v>2025</v>
      </c>
      <c r="U429">
        <f>SalesData[[#This Row],[Profit]]/SalesData[[#This Row],[Sales]]</f>
        <v>0.26315789473684209</v>
      </c>
    </row>
    <row r="430" spans="1:21" x14ac:dyDescent="0.25">
      <c r="A430" t="s">
        <v>677</v>
      </c>
      <c r="B430" s="1">
        <v>45853</v>
      </c>
      <c r="C430" t="s">
        <v>150</v>
      </c>
      <c r="D430" t="s">
        <v>36</v>
      </c>
      <c r="E430" t="s">
        <v>70</v>
      </c>
      <c r="F430" t="s">
        <v>71</v>
      </c>
      <c r="G430" t="s">
        <v>22</v>
      </c>
      <c r="H430" t="s">
        <v>46</v>
      </c>
      <c r="I430" t="s">
        <v>53</v>
      </c>
      <c r="J430">
        <v>5</v>
      </c>
      <c r="K430">
        <v>1500</v>
      </c>
      <c r="L430">
        <v>15</v>
      </c>
      <c r="M430">
        <v>6375</v>
      </c>
      <c r="N430">
        <v>5250</v>
      </c>
      <c r="O430">
        <v>1125</v>
      </c>
      <c r="P430" t="s">
        <v>40</v>
      </c>
      <c r="Q430" t="s">
        <v>26</v>
      </c>
      <c r="R430" t="str">
        <f>TEXT(SalesData[[#This Row],[Order Date]],"mmm")</f>
        <v>Jul</v>
      </c>
      <c r="S430" s="2" t="str">
        <f>"Q"&amp;ROUNDUP(MONTH(SalesData[[#This Row],[Order Date]])/3,0)</f>
        <v>Q3</v>
      </c>
      <c r="T430">
        <f>YEAR(SalesData[[#This Row],[Order Date]])</f>
        <v>2025</v>
      </c>
      <c r="U430">
        <f>SalesData[[#This Row],[Profit]]/SalesData[[#This Row],[Sales]]</f>
        <v>0.17647058823529413</v>
      </c>
    </row>
    <row r="431" spans="1:21" x14ac:dyDescent="0.25">
      <c r="A431" t="s">
        <v>678</v>
      </c>
      <c r="B431" s="1">
        <v>45875</v>
      </c>
      <c r="C431" t="s">
        <v>457</v>
      </c>
      <c r="D431" t="s">
        <v>224</v>
      </c>
      <c r="E431" t="s">
        <v>20</v>
      </c>
      <c r="F431" t="s">
        <v>21</v>
      </c>
      <c r="G431" t="s">
        <v>22</v>
      </c>
      <c r="H431" t="s">
        <v>23</v>
      </c>
      <c r="I431" t="s">
        <v>53</v>
      </c>
      <c r="J431">
        <v>7</v>
      </c>
      <c r="K431">
        <v>3500</v>
      </c>
      <c r="L431">
        <v>20</v>
      </c>
      <c r="M431">
        <v>19600</v>
      </c>
      <c r="N431">
        <v>17150</v>
      </c>
      <c r="O431">
        <v>2450</v>
      </c>
      <c r="P431" t="s">
        <v>54</v>
      </c>
      <c r="Q431" t="s">
        <v>26</v>
      </c>
      <c r="R431" t="str">
        <f>TEXT(SalesData[[#This Row],[Order Date]],"mmm")</f>
        <v>Aug</v>
      </c>
      <c r="S431" s="2" t="str">
        <f>"Q"&amp;ROUNDUP(MONTH(SalesData[[#This Row],[Order Date]])/3,0)</f>
        <v>Q3</v>
      </c>
      <c r="T431">
        <f>YEAR(SalesData[[#This Row],[Order Date]])</f>
        <v>2025</v>
      </c>
      <c r="U431">
        <f>SalesData[[#This Row],[Profit]]/SalesData[[#This Row],[Sales]]</f>
        <v>0.125</v>
      </c>
    </row>
    <row r="432" spans="1:21" x14ac:dyDescent="0.25">
      <c r="A432" t="s">
        <v>679</v>
      </c>
      <c r="B432" s="1">
        <v>45742</v>
      </c>
      <c r="C432" t="s">
        <v>195</v>
      </c>
      <c r="D432" t="s">
        <v>19</v>
      </c>
      <c r="E432" t="s">
        <v>50</v>
      </c>
      <c r="F432" t="s">
        <v>51</v>
      </c>
      <c r="G432" t="s">
        <v>52</v>
      </c>
      <c r="H432" t="s">
        <v>46</v>
      </c>
      <c r="I432" t="s">
        <v>72</v>
      </c>
      <c r="J432">
        <v>7</v>
      </c>
      <c r="K432">
        <v>3200</v>
      </c>
      <c r="L432">
        <v>20</v>
      </c>
      <c r="M432">
        <v>17920</v>
      </c>
      <c r="N432">
        <v>15680</v>
      </c>
      <c r="O432">
        <v>2240.0000000000018</v>
      </c>
      <c r="P432" t="s">
        <v>40</v>
      </c>
      <c r="Q432" t="s">
        <v>26</v>
      </c>
      <c r="R432" t="str">
        <f>TEXT(SalesData[[#This Row],[Order Date]],"mmm")</f>
        <v>Mar</v>
      </c>
      <c r="S432" s="2" t="str">
        <f>"Q"&amp;ROUNDUP(MONTH(SalesData[[#This Row],[Order Date]])/3,0)</f>
        <v>Q1</v>
      </c>
      <c r="T432">
        <f>YEAR(SalesData[[#This Row],[Order Date]])</f>
        <v>2025</v>
      </c>
      <c r="U432">
        <f>SalesData[[#This Row],[Profit]]/SalesData[[#This Row],[Sales]]</f>
        <v>0.12500000000000011</v>
      </c>
    </row>
    <row r="433" spans="1:21" x14ac:dyDescent="0.25">
      <c r="A433" t="s">
        <v>680</v>
      </c>
      <c r="B433" s="1">
        <v>45770</v>
      </c>
      <c r="C433" t="s">
        <v>265</v>
      </c>
      <c r="D433" t="s">
        <v>310</v>
      </c>
      <c r="E433" t="s">
        <v>37</v>
      </c>
      <c r="F433" t="s">
        <v>38</v>
      </c>
      <c r="G433" t="s">
        <v>22</v>
      </c>
      <c r="H433" t="s">
        <v>65</v>
      </c>
      <c r="I433" t="s">
        <v>53</v>
      </c>
      <c r="J433">
        <v>4</v>
      </c>
      <c r="K433">
        <v>55000</v>
      </c>
      <c r="L433">
        <v>5</v>
      </c>
      <c r="M433">
        <v>209000</v>
      </c>
      <c r="N433">
        <v>154000</v>
      </c>
      <c r="O433">
        <v>55000</v>
      </c>
      <c r="P433" t="s">
        <v>54</v>
      </c>
      <c r="Q433" t="s">
        <v>76</v>
      </c>
      <c r="R433" t="str">
        <f>TEXT(SalesData[[#This Row],[Order Date]],"mmm")</f>
        <v>Apr</v>
      </c>
      <c r="S433" s="2" t="str">
        <f>"Q"&amp;ROUNDUP(MONTH(SalesData[[#This Row],[Order Date]])/3,0)</f>
        <v>Q2</v>
      </c>
      <c r="T433">
        <f>YEAR(SalesData[[#This Row],[Order Date]])</f>
        <v>2025</v>
      </c>
      <c r="U433">
        <f>SalesData[[#This Row],[Profit]]/SalesData[[#This Row],[Sales]]</f>
        <v>0.26315789473684209</v>
      </c>
    </row>
    <row r="434" spans="1:21" x14ac:dyDescent="0.25">
      <c r="A434" t="s">
        <v>681</v>
      </c>
      <c r="B434" s="1">
        <v>45921</v>
      </c>
      <c r="C434" t="s">
        <v>246</v>
      </c>
      <c r="D434" t="s">
        <v>69</v>
      </c>
      <c r="E434" t="s">
        <v>30</v>
      </c>
      <c r="F434" t="s">
        <v>31</v>
      </c>
      <c r="G434" t="s">
        <v>22</v>
      </c>
      <c r="H434" t="s">
        <v>65</v>
      </c>
      <c r="I434" t="s">
        <v>24</v>
      </c>
      <c r="J434">
        <v>4</v>
      </c>
      <c r="K434">
        <v>800</v>
      </c>
      <c r="L434">
        <v>15</v>
      </c>
      <c r="M434">
        <v>2720</v>
      </c>
      <c r="N434">
        <v>2240</v>
      </c>
      <c r="O434">
        <v>480</v>
      </c>
      <c r="P434" t="s">
        <v>58</v>
      </c>
      <c r="Q434" t="s">
        <v>33</v>
      </c>
      <c r="R434" t="str">
        <f>TEXT(SalesData[[#This Row],[Order Date]],"mmm")</f>
        <v>Sep</v>
      </c>
      <c r="S434" s="2" t="str">
        <f>"Q"&amp;ROUNDUP(MONTH(SalesData[[#This Row],[Order Date]])/3,0)</f>
        <v>Q3</v>
      </c>
      <c r="T434">
        <f>YEAR(SalesData[[#This Row],[Order Date]])</f>
        <v>2025</v>
      </c>
      <c r="U434">
        <f>SalesData[[#This Row],[Profit]]/SalesData[[#This Row],[Sales]]</f>
        <v>0.17647058823529413</v>
      </c>
    </row>
    <row r="435" spans="1:21" x14ac:dyDescent="0.25">
      <c r="A435" t="s">
        <v>682</v>
      </c>
      <c r="B435" s="1">
        <v>45938</v>
      </c>
      <c r="C435" t="s">
        <v>273</v>
      </c>
      <c r="D435" t="s">
        <v>29</v>
      </c>
      <c r="E435" t="s">
        <v>50</v>
      </c>
      <c r="F435" t="s">
        <v>51</v>
      </c>
      <c r="G435" t="s">
        <v>52</v>
      </c>
      <c r="H435" t="s">
        <v>65</v>
      </c>
      <c r="I435" t="s">
        <v>72</v>
      </c>
      <c r="J435">
        <v>2</v>
      </c>
      <c r="K435">
        <v>3200</v>
      </c>
      <c r="L435">
        <v>10</v>
      </c>
      <c r="M435">
        <v>5760</v>
      </c>
      <c r="N435">
        <v>4480</v>
      </c>
      <c r="O435">
        <v>1280</v>
      </c>
      <c r="P435" t="s">
        <v>25</v>
      </c>
      <c r="Q435" t="s">
        <v>26</v>
      </c>
      <c r="R435" t="str">
        <f>TEXT(SalesData[[#This Row],[Order Date]],"mmm")</f>
        <v>Oct</v>
      </c>
      <c r="S435" s="2" t="str">
        <f>"Q"&amp;ROUNDUP(MONTH(SalesData[[#This Row],[Order Date]])/3,0)</f>
        <v>Q4</v>
      </c>
      <c r="T435">
        <f>YEAR(SalesData[[#This Row],[Order Date]])</f>
        <v>2025</v>
      </c>
      <c r="U435">
        <f>SalesData[[#This Row],[Profit]]/SalesData[[#This Row],[Sales]]</f>
        <v>0.22222222222222221</v>
      </c>
    </row>
    <row r="436" spans="1:21" x14ac:dyDescent="0.25">
      <c r="A436" t="s">
        <v>683</v>
      </c>
      <c r="B436" s="1">
        <v>45703</v>
      </c>
      <c r="C436" t="s">
        <v>121</v>
      </c>
      <c r="D436" t="s">
        <v>103</v>
      </c>
      <c r="E436" t="s">
        <v>44</v>
      </c>
      <c r="F436" t="s">
        <v>45</v>
      </c>
      <c r="G436" t="s">
        <v>22</v>
      </c>
      <c r="H436" t="s">
        <v>23</v>
      </c>
      <c r="I436" t="s">
        <v>39</v>
      </c>
      <c r="J436">
        <v>4</v>
      </c>
      <c r="K436">
        <v>9500</v>
      </c>
      <c r="L436">
        <v>20</v>
      </c>
      <c r="M436">
        <v>30400</v>
      </c>
      <c r="N436">
        <v>26600</v>
      </c>
      <c r="O436">
        <v>3800</v>
      </c>
      <c r="P436" t="s">
        <v>25</v>
      </c>
      <c r="Q436" t="s">
        <v>76</v>
      </c>
      <c r="R436" t="str">
        <f>TEXT(SalesData[[#This Row],[Order Date]],"mmm")</f>
        <v>Feb</v>
      </c>
      <c r="S436" s="2" t="str">
        <f>"Q"&amp;ROUNDUP(MONTH(SalesData[[#This Row],[Order Date]])/3,0)</f>
        <v>Q1</v>
      </c>
      <c r="T436">
        <f>YEAR(SalesData[[#This Row],[Order Date]])</f>
        <v>2025</v>
      </c>
      <c r="U436">
        <f>SalesData[[#This Row],[Profit]]/SalesData[[#This Row],[Sales]]</f>
        <v>0.125</v>
      </c>
    </row>
    <row r="437" spans="1:21" x14ac:dyDescent="0.25">
      <c r="A437" t="s">
        <v>684</v>
      </c>
      <c r="B437" s="1">
        <v>45662</v>
      </c>
      <c r="C437" t="s">
        <v>68</v>
      </c>
      <c r="D437" t="s">
        <v>61</v>
      </c>
      <c r="E437" t="s">
        <v>70</v>
      </c>
      <c r="F437" t="s">
        <v>71</v>
      </c>
      <c r="G437" t="s">
        <v>22</v>
      </c>
      <c r="H437" t="s">
        <v>32</v>
      </c>
      <c r="I437" t="s">
        <v>39</v>
      </c>
      <c r="J437">
        <v>10</v>
      </c>
      <c r="K437">
        <v>1500</v>
      </c>
      <c r="L437">
        <v>0</v>
      </c>
      <c r="M437">
        <v>15000</v>
      </c>
      <c r="N437">
        <v>10500</v>
      </c>
      <c r="O437">
        <v>4500</v>
      </c>
      <c r="P437" t="s">
        <v>54</v>
      </c>
      <c r="Q437" t="s">
        <v>26</v>
      </c>
      <c r="R437" t="str">
        <f>TEXT(SalesData[[#This Row],[Order Date]],"mmm")</f>
        <v>Jan</v>
      </c>
      <c r="S437" s="2" t="str">
        <f>"Q"&amp;ROUNDUP(MONTH(SalesData[[#This Row],[Order Date]])/3,0)</f>
        <v>Q1</v>
      </c>
      <c r="T437">
        <f>YEAR(SalesData[[#This Row],[Order Date]])</f>
        <v>2025</v>
      </c>
      <c r="U437">
        <f>SalesData[[#This Row],[Profit]]/SalesData[[#This Row],[Sales]]</f>
        <v>0.3</v>
      </c>
    </row>
    <row r="438" spans="1:21" x14ac:dyDescent="0.25">
      <c r="A438" t="s">
        <v>685</v>
      </c>
      <c r="B438" s="1">
        <v>45705</v>
      </c>
      <c r="C438" t="s">
        <v>232</v>
      </c>
      <c r="D438" t="s">
        <v>161</v>
      </c>
      <c r="E438" t="s">
        <v>93</v>
      </c>
      <c r="F438" t="s">
        <v>94</v>
      </c>
      <c r="G438" t="s">
        <v>64</v>
      </c>
      <c r="H438" t="s">
        <v>46</v>
      </c>
      <c r="I438" t="s">
        <v>72</v>
      </c>
      <c r="J438">
        <v>1</v>
      </c>
      <c r="K438">
        <v>4500</v>
      </c>
      <c r="L438">
        <v>0</v>
      </c>
      <c r="M438">
        <v>4500</v>
      </c>
      <c r="N438">
        <v>3150</v>
      </c>
      <c r="O438">
        <v>1350</v>
      </c>
      <c r="P438" t="s">
        <v>54</v>
      </c>
      <c r="Q438" t="s">
        <v>76</v>
      </c>
      <c r="R438" t="str">
        <f>TEXT(SalesData[[#This Row],[Order Date]],"mmm")</f>
        <v>Feb</v>
      </c>
      <c r="S438" s="2" t="str">
        <f>"Q"&amp;ROUNDUP(MONTH(SalesData[[#This Row],[Order Date]])/3,0)</f>
        <v>Q1</v>
      </c>
      <c r="T438">
        <f>YEAR(SalesData[[#This Row],[Order Date]])</f>
        <v>2025</v>
      </c>
      <c r="U438">
        <f>SalesData[[#This Row],[Profit]]/SalesData[[#This Row],[Sales]]</f>
        <v>0.3</v>
      </c>
    </row>
    <row r="439" spans="1:21" x14ac:dyDescent="0.25">
      <c r="A439" t="s">
        <v>686</v>
      </c>
      <c r="B439" s="1">
        <v>45975</v>
      </c>
      <c r="C439" t="s">
        <v>495</v>
      </c>
      <c r="D439" t="s">
        <v>350</v>
      </c>
      <c r="E439" t="s">
        <v>44</v>
      </c>
      <c r="F439" t="s">
        <v>45</v>
      </c>
      <c r="G439" t="s">
        <v>22</v>
      </c>
      <c r="H439" t="s">
        <v>23</v>
      </c>
      <c r="I439" t="s">
        <v>53</v>
      </c>
      <c r="J439">
        <v>8</v>
      </c>
      <c r="K439">
        <v>9500</v>
      </c>
      <c r="L439">
        <v>15</v>
      </c>
      <c r="M439">
        <v>64600</v>
      </c>
      <c r="N439">
        <v>53200</v>
      </c>
      <c r="O439">
        <v>11400</v>
      </c>
      <c r="P439" t="s">
        <v>54</v>
      </c>
      <c r="Q439" t="s">
        <v>33</v>
      </c>
      <c r="R439" t="str">
        <f>TEXT(SalesData[[#This Row],[Order Date]],"mmm")</f>
        <v>Nov</v>
      </c>
      <c r="S439" s="2" t="str">
        <f>"Q"&amp;ROUNDUP(MONTH(SalesData[[#This Row],[Order Date]])/3,0)</f>
        <v>Q4</v>
      </c>
      <c r="T439">
        <f>YEAR(SalesData[[#This Row],[Order Date]])</f>
        <v>2025</v>
      </c>
      <c r="U439">
        <f>SalesData[[#This Row],[Profit]]/SalesData[[#This Row],[Sales]]</f>
        <v>0.17647058823529413</v>
      </c>
    </row>
    <row r="440" spans="1:21" x14ac:dyDescent="0.25">
      <c r="A440" t="s">
        <v>687</v>
      </c>
      <c r="B440" s="1">
        <v>45986</v>
      </c>
      <c r="C440" t="s">
        <v>182</v>
      </c>
      <c r="D440" t="s">
        <v>36</v>
      </c>
      <c r="E440" t="s">
        <v>70</v>
      </c>
      <c r="F440" t="s">
        <v>71</v>
      </c>
      <c r="G440" t="s">
        <v>22</v>
      </c>
      <c r="H440" t="s">
        <v>46</v>
      </c>
      <c r="I440" t="s">
        <v>53</v>
      </c>
      <c r="J440">
        <v>4</v>
      </c>
      <c r="K440">
        <v>1500</v>
      </c>
      <c r="L440">
        <v>0</v>
      </c>
      <c r="M440">
        <v>6000</v>
      </c>
      <c r="N440">
        <v>4200</v>
      </c>
      <c r="O440">
        <v>1800</v>
      </c>
      <c r="P440" t="s">
        <v>25</v>
      </c>
      <c r="Q440" t="s">
        <v>33</v>
      </c>
      <c r="R440" t="str">
        <f>TEXT(SalesData[[#This Row],[Order Date]],"mmm")</f>
        <v>Nov</v>
      </c>
      <c r="S440" s="2" t="str">
        <f>"Q"&amp;ROUNDUP(MONTH(SalesData[[#This Row],[Order Date]])/3,0)</f>
        <v>Q4</v>
      </c>
      <c r="T440">
        <f>YEAR(SalesData[[#This Row],[Order Date]])</f>
        <v>2025</v>
      </c>
      <c r="U440">
        <f>SalesData[[#This Row],[Profit]]/SalesData[[#This Row],[Sales]]</f>
        <v>0.3</v>
      </c>
    </row>
    <row r="441" spans="1:21" x14ac:dyDescent="0.25">
      <c r="A441" t="s">
        <v>688</v>
      </c>
      <c r="B441" s="1">
        <v>45867</v>
      </c>
      <c r="C441" t="s">
        <v>123</v>
      </c>
      <c r="D441" t="s">
        <v>253</v>
      </c>
      <c r="E441" t="s">
        <v>20</v>
      </c>
      <c r="F441" t="s">
        <v>21</v>
      </c>
      <c r="G441" t="s">
        <v>22</v>
      </c>
      <c r="H441" t="s">
        <v>65</v>
      </c>
      <c r="I441" t="s">
        <v>80</v>
      </c>
      <c r="J441">
        <v>5</v>
      </c>
      <c r="K441">
        <v>3500</v>
      </c>
      <c r="L441">
        <v>5</v>
      </c>
      <c r="M441">
        <v>16625</v>
      </c>
      <c r="N441">
        <v>12250</v>
      </c>
      <c r="O441">
        <v>4375</v>
      </c>
      <c r="P441" t="s">
        <v>25</v>
      </c>
      <c r="Q441" t="s">
        <v>33</v>
      </c>
      <c r="R441" t="str">
        <f>TEXT(SalesData[[#This Row],[Order Date]],"mmm")</f>
        <v>Jul</v>
      </c>
      <c r="S441" s="2" t="str">
        <f>"Q"&amp;ROUNDUP(MONTH(SalesData[[#This Row],[Order Date]])/3,0)</f>
        <v>Q3</v>
      </c>
      <c r="T441">
        <f>YEAR(SalesData[[#This Row],[Order Date]])</f>
        <v>2025</v>
      </c>
      <c r="U441">
        <f>SalesData[[#This Row],[Profit]]/SalesData[[#This Row],[Sales]]</f>
        <v>0.26315789473684209</v>
      </c>
    </row>
    <row r="442" spans="1:21" x14ac:dyDescent="0.25">
      <c r="A442" t="s">
        <v>689</v>
      </c>
      <c r="B442" s="1">
        <v>45775</v>
      </c>
      <c r="C442" t="s">
        <v>435</v>
      </c>
      <c r="D442" t="s">
        <v>188</v>
      </c>
      <c r="E442" t="s">
        <v>62</v>
      </c>
      <c r="F442" t="s">
        <v>63</v>
      </c>
      <c r="G442" t="s">
        <v>64</v>
      </c>
      <c r="H442" t="s">
        <v>23</v>
      </c>
      <c r="I442" t="s">
        <v>39</v>
      </c>
      <c r="J442">
        <v>8</v>
      </c>
      <c r="K442">
        <v>8500</v>
      </c>
      <c r="L442">
        <v>20</v>
      </c>
      <c r="M442">
        <v>54400</v>
      </c>
      <c r="N442">
        <v>47600</v>
      </c>
      <c r="O442">
        <v>6800</v>
      </c>
      <c r="P442" t="s">
        <v>40</v>
      </c>
      <c r="Q442" t="s">
        <v>33</v>
      </c>
      <c r="R442" t="str">
        <f>TEXT(SalesData[[#This Row],[Order Date]],"mmm")</f>
        <v>Apr</v>
      </c>
      <c r="S442" s="2" t="str">
        <f>"Q"&amp;ROUNDUP(MONTH(SalesData[[#This Row],[Order Date]])/3,0)</f>
        <v>Q2</v>
      </c>
      <c r="T442">
        <f>YEAR(SalesData[[#This Row],[Order Date]])</f>
        <v>2025</v>
      </c>
      <c r="U442">
        <f>SalesData[[#This Row],[Profit]]/SalesData[[#This Row],[Sales]]</f>
        <v>0.125</v>
      </c>
    </row>
    <row r="443" spans="1:21" x14ac:dyDescent="0.25">
      <c r="A443" t="s">
        <v>690</v>
      </c>
      <c r="B443" s="1">
        <v>45874</v>
      </c>
      <c r="C443" t="s">
        <v>442</v>
      </c>
      <c r="D443" t="s">
        <v>253</v>
      </c>
      <c r="E443" t="s">
        <v>93</v>
      </c>
      <c r="F443" t="s">
        <v>94</v>
      </c>
      <c r="G443" t="s">
        <v>64</v>
      </c>
      <c r="H443" t="s">
        <v>23</v>
      </c>
      <c r="I443" t="s">
        <v>53</v>
      </c>
      <c r="J443">
        <v>9</v>
      </c>
      <c r="K443">
        <v>4500</v>
      </c>
      <c r="L443">
        <v>10</v>
      </c>
      <c r="M443">
        <v>36450</v>
      </c>
      <c r="N443">
        <v>28350</v>
      </c>
      <c r="O443">
        <v>8100</v>
      </c>
      <c r="P443" t="s">
        <v>58</v>
      </c>
      <c r="Q443" t="s">
        <v>26</v>
      </c>
      <c r="R443" t="str">
        <f>TEXT(SalesData[[#This Row],[Order Date]],"mmm")</f>
        <v>Aug</v>
      </c>
      <c r="S443" s="2" t="str">
        <f>"Q"&amp;ROUNDUP(MONTH(SalesData[[#This Row],[Order Date]])/3,0)</f>
        <v>Q3</v>
      </c>
      <c r="T443">
        <f>YEAR(SalesData[[#This Row],[Order Date]])</f>
        <v>2025</v>
      </c>
      <c r="U443">
        <f>SalesData[[#This Row],[Profit]]/SalesData[[#This Row],[Sales]]</f>
        <v>0.22222222222222221</v>
      </c>
    </row>
    <row r="444" spans="1:21" x14ac:dyDescent="0.25">
      <c r="A444" t="s">
        <v>691</v>
      </c>
      <c r="B444" s="1">
        <v>46005</v>
      </c>
      <c r="C444" t="s">
        <v>232</v>
      </c>
      <c r="D444" t="s">
        <v>164</v>
      </c>
      <c r="E444" t="s">
        <v>44</v>
      </c>
      <c r="F444" t="s">
        <v>45</v>
      </c>
      <c r="G444" t="s">
        <v>22</v>
      </c>
      <c r="H444" t="s">
        <v>46</v>
      </c>
      <c r="I444" t="s">
        <v>72</v>
      </c>
      <c r="J444">
        <v>7</v>
      </c>
      <c r="K444">
        <v>9500</v>
      </c>
      <c r="L444">
        <v>15</v>
      </c>
      <c r="M444">
        <v>56525</v>
      </c>
      <c r="N444">
        <v>46550</v>
      </c>
      <c r="O444">
        <v>9975</v>
      </c>
      <c r="P444" t="s">
        <v>40</v>
      </c>
      <c r="Q444" t="s">
        <v>26</v>
      </c>
      <c r="R444" t="str">
        <f>TEXT(SalesData[[#This Row],[Order Date]],"mmm")</f>
        <v>Dec</v>
      </c>
      <c r="S444" s="2" t="str">
        <f>"Q"&amp;ROUNDUP(MONTH(SalesData[[#This Row],[Order Date]])/3,0)</f>
        <v>Q4</v>
      </c>
      <c r="T444">
        <f>YEAR(SalesData[[#This Row],[Order Date]])</f>
        <v>2025</v>
      </c>
      <c r="U444">
        <f>SalesData[[#This Row],[Profit]]/SalesData[[#This Row],[Sales]]</f>
        <v>0.17647058823529413</v>
      </c>
    </row>
    <row r="445" spans="1:21" x14ac:dyDescent="0.25">
      <c r="A445" t="s">
        <v>692</v>
      </c>
      <c r="B445" s="1">
        <v>45688</v>
      </c>
      <c r="C445" t="s">
        <v>125</v>
      </c>
      <c r="D445" t="s">
        <v>36</v>
      </c>
      <c r="E445" t="s">
        <v>70</v>
      </c>
      <c r="F445" t="s">
        <v>71</v>
      </c>
      <c r="G445" t="s">
        <v>22</v>
      </c>
      <c r="H445" t="s">
        <v>46</v>
      </c>
      <c r="I445" t="s">
        <v>72</v>
      </c>
      <c r="J445">
        <v>5</v>
      </c>
      <c r="K445">
        <v>1500</v>
      </c>
      <c r="L445">
        <v>15</v>
      </c>
      <c r="M445">
        <v>6375</v>
      </c>
      <c r="N445">
        <v>5250</v>
      </c>
      <c r="O445">
        <v>1125</v>
      </c>
      <c r="P445" t="s">
        <v>25</v>
      </c>
      <c r="Q445" t="s">
        <v>33</v>
      </c>
      <c r="R445" t="str">
        <f>TEXT(SalesData[[#This Row],[Order Date]],"mmm")</f>
        <v>Jan</v>
      </c>
      <c r="S445" s="2" t="str">
        <f>"Q"&amp;ROUNDUP(MONTH(SalesData[[#This Row],[Order Date]])/3,0)</f>
        <v>Q1</v>
      </c>
      <c r="T445">
        <f>YEAR(SalesData[[#This Row],[Order Date]])</f>
        <v>2025</v>
      </c>
      <c r="U445">
        <f>SalesData[[#This Row],[Profit]]/SalesData[[#This Row],[Sales]]</f>
        <v>0.17647058823529413</v>
      </c>
    </row>
    <row r="446" spans="1:21" x14ac:dyDescent="0.25">
      <c r="A446" t="s">
        <v>693</v>
      </c>
      <c r="B446" s="1">
        <v>45977</v>
      </c>
      <c r="C446" t="s">
        <v>88</v>
      </c>
      <c r="D446" t="s">
        <v>355</v>
      </c>
      <c r="E446" t="s">
        <v>30</v>
      </c>
      <c r="F446" t="s">
        <v>31</v>
      </c>
      <c r="G446" t="s">
        <v>22</v>
      </c>
      <c r="H446" t="s">
        <v>65</v>
      </c>
      <c r="I446" t="s">
        <v>66</v>
      </c>
      <c r="J446">
        <v>9</v>
      </c>
      <c r="K446">
        <v>800</v>
      </c>
      <c r="L446">
        <v>15</v>
      </c>
      <c r="M446">
        <v>6120</v>
      </c>
      <c r="N446">
        <v>5040</v>
      </c>
      <c r="O446">
        <v>1080</v>
      </c>
      <c r="P446" t="s">
        <v>58</v>
      </c>
      <c r="Q446" t="s">
        <v>33</v>
      </c>
      <c r="R446" t="str">
        <f>TEXT(SalesData[[#This Row],[Order Date]],"mmm")</f>
        <v>Nov</v>
      </c>
      <c r="S446" s="2" t="str">
        <f>"Q"&amp;ROUNDUP(MONTH(SalesData[[#This Row],[Order Date]])/3,0)</f>
        <v>Q4</v>
      </c>
      <c r="T446">
        <f>YEAR(SalesData[[#This Row],[Order Date]])</f>
        <v>2025</v>
      </c>
      <c r="U446">
        <f>SalesData[[#This Row],[Profit]]/SalesData[[#This Row],[Sales]]</f>
        <v>0.17647058823529413</v>
      </c>
    </row>
    <row r="447" spans="1:21" x14ac:dyDescent="0.25">
      <c r="A447" t="s">
        <v>694</v>
      </c>
      <c r="B447" s="1">
        <v>45877</v>
      </c>
      <c r="C447" t="s">
        <v>208</v>
      </c>
      <c r="D447" t="s">
        <v>352</v>
      </c>
      <c r="E447" t="s">
        <v>50</v>
      </c>
      <c r="F447" t="s">
        <v>51</v>
      </c>
      <c r="G447" t="s">
        <v>52</v>
      </c>
      <c r="H447" t="s">
        <v>32</v>
      </c>
      <c r="I447" t="s">
        <v>39</v>
      </c>
      <c r="J447">
        <v>7</v>
      </c>
      <c r="K447">
        <v>3200</v>
      </c>
      <c r="L447">
        <v>20</v>
      </c>
      <c r="M447">
        <v>17920</v>
      </c>
      <c r="N447">
        <v>15680</v>
      </c>
      <c r="O447">
        <v>2240.0000000000018</v>
      </c>
      <c r="P447" t="s">
        <v>40</v>
      </c>
      <c r="Q447" t="s">
        <v>76</v>
      </c>
      <c r="R447" t="str">
        <f>TEXT(SalesData[[#This Row],[Order Date]],"mmm")</f>
        <v>Aug</v>
      </c>
      <c r="S447" s="2" t="str">
        <f>"Q"&amp;ROUNDUP(MONTH(SalesData[[#This Row],[Order Date]])/3,0)</f>
        <v>Q3</v>
      </c>
      <c r="T447">
        <f>YEAR(SalesData[[#This Row],[Order Date]])</f>
        <v>2025</v>
      </c>
      <c r="U447">
        <f>SalesData[[#This Row],[Profit]]/SalesData[[#This Row],[Sales]]</f>
        <v>0.12500000000000011</v>
      </c>
    </row>
    <row r="448" spans="1:21" x14ac:dyDescent="0.25">
      <c r="A448" t="s">
        <v>695</v>
      </c>
      <c r="B448" s="1">
        <v>45829</v>
      </c>
      <c r="C448" t="s">
        <v>367</v>
      </c>
      <c r="D448" t="s">
        <v>310</v>
      </c>
      <c r="E448" t="s">
        <v>30</v>
      </c>
      <c r="F448" t="s">
        <v>31</v>
      </c>
      <c r="G448" t="s">
        <v>22</v>
      </c>
      <c r="H448" t="s">
        <v>65</v>
      </c>
      <c r="I448" t="s">
        <v>24</v>
      </c>
      <c r="J448">
        <v>9</v>
      </c>
      <c r="K448">
        <v>800</v>
      </c>
      <c r="L448">
        <v>15</v>
      </c>
      <c r="M448">
        <v>6120</v>
      </c>
      <c r="N448">
        <v>5040</v>
      </c>
      <c r="O448">
        <v>1080</v>
      </c>
      <c r="P448" t="s">
        <v>40</v>
      </c>
      <c r="Q448" t="s">
        <v>26</v>
      </c>
      <c r="R448" t="str">
        <f>TEXT(SalesData[[#This Row],[Order Date]],"mmm")</f>
        <v>Jun</v>
      </c>
      <c r="S448" s="2" t="str">
        <f>"Q"&amp;ROUNDUP(MONTH(SalesData[[#This Row],[Order Date]])/3,0)</f>
        <v>Q2</v>
      </c>
      <c r="T448">
        <f>YEAR(SalesData[[#This Row],[Order Date]])</f>
        <v>2025</v>
      </c>
      <c r="U448">
        <f>SalesData[[#This Row],[Profit]]/SalesData[[#This Row],[Sales]]</f>
        <v>0.17647058823529413</v>
      </c>
    </row>
    <row r="449" spans="1:21" x14ac:dyDescent="0.25">
      <c r="A449" t="s">
        <v>696</v>
      </c>
      <c r="B449" s="1">
        <v>45797</v>
      </c>
      <c r="C449" t="s">
        <v>246</v>
      </c>
      <c r="D449" t="s">
        <v>665</v>
      </c>
      <c r="E449" t="s">
        <v>62</v>
      </c>
      <c r="F449" t="s">
        <v>63</v>
      </c>
      <c r="G449" t="s">
        <v>64</v>
      </c>
      <c r="H449" t="s">
        <v>32</v>
      </c>
      <c r="I449" t="s">
        <v>24</v>
      </c>
      <c r="J449">
        <v>9</v>
      </c>
      <c r="K449">
        <v>8500</v>
      </c>
      <c r="L449">
        <v>0</v>
      </c>
      <c r="M449">
        <v>76500</v>
      </c>
      <c r="N449">
        <v>53550</v>
      </c>
      <c r="O449">
        <v>22950</v>
      </c>
      <c r="P449" t="s">
        <v>54</v>
      </c>
      <c r="Q449" t="s">
        <v>33</v>
      </c>
      <c r="R449" t="str">
        <f>TEXT(SalesData[[#This Row],[Order Date]],"mmm")</f>
        <v>May</v>
      </c>
      <c r="S449" s="2" t="str">
        <f>"Q"&amp;ROUNDUP(MONTH(SalesData[[#This Row],[Order Date]])/3,0)</f>
        <v>Q2</v>
      </c>
      <c r="T449">
        <f>YEAR(SalesData[[#This Row],[Order Date]])</f>
        <v>2025</v>
      </c>
      <c r="U449">
        <f>SalesData[[#This Row],[Profit]]/SalesData[[#This Row],[Sales]]</f>
        <v>0.3</v>
      </c>
    </row>
    <row r="450" spans="1:21" x14ac:dyDescent="0.25">
      <c r="A450" t="s">
        <v>697</v>
      </c>
      <c r="B450" s="1">
        <v>45739</v>
      </c>
      <c r="C450" t="s">
        <v>323</v>
      </c>
      <c r="D450" t="s">
        <v>161</v>
      </c>
      <c r="E450" t="s">
        <v>20</v>
      </c>
      <c r="F450" t="s">
        <v>21</v>
      </c>
      <c r="G450" t="s">
        <v>22</v>
      </c>
      <c r="H450" t="s">
        <v>23</v>
      </c>
      <c r="I450" t="s">
        <v>24</v>
      </c>
      <c r="J450">
        <v>1</v>
      </c>
      <c r="K450">
        <v>3500</v>
      </c>
      <c r="L450">
        <v>5</v>
      </c>
      <c r="M450">
        <v>3325</v>
      </c>
      <c r="N450">
        <v>2450</v>
      </c>
      <c r="O450">
        <v>875</v>
      </c>
      <c r="P450" t="s">
        <v>25</v>
      </c>
      <c r="Q450" t="s">
        <v>26</v>
      </c>
      <c r="R450" t="str">
        <f>TEXT(SalesData[[#This Row],[Order Date]],"mmm")</f>
        <v>Mar</v>
      </c>
      <c r="S450" s="2" t="str">
        <f>"Q"&amp;ROUNDUP(MONTH(SalesData[[#This Row],[Order Date]])/3,0)</f>
        <v>Q1</v>
      </c>
      <c r="T450">
        <f>YEAR(SalesData[[#This Row],[Order Date]])</f>
        <v>2025</v>
      </c>
      <c r="U450">
        <f>SalesData[[#This Row],[Profit]]/SalesData[[#This Row],[Sales]]</f>
        <v>0.26315789473684209</v>
      </c>
    </row>
    <row r="451" spans="1:21" x14ac:dyDescent="0.25">
      <c r="A451" t="s">
        <v>698</v>
      </c>
      <c r="B451" s="1">
        <v>45800</v>
      </c>
      <c r="C451" t="s">
        <v>435</v>
      </c>
      <c r="D451" t="s">
        <v>262</v>
      </c>
      <c r="E451" t="s">
        <v>62</v>
      </c>
      <c r="F451" t="s">
        <v>63</v>
      </c>
      <c r="G451" t="s">
        <v>64</v>
      </c>
      <c r="H451" t="s">
        <v>46</v>
      </c>
      <c r="I451" t="s">
        <v>80</v>
      </c>
      <c r="J451">
        <v>9</v>
      </c>
      <c r="K451">
        <v>8500</v>
      </c>
      <c r="L451">
        <v>10</v>
      </c>
      <c r="M451">
        <v>68850</v>
      </c>
      <c r="N451">
        <v>53550</v>
      </c>
      <c r="O451">
        <v>15300</v>
      </c>
      <c r="P451" t="s">
        <v>54</v>
      </c>
      <c r="Q451" t="s">
        <v>26</v>
      </c>
      <c r="R451" t="str">
        <f>TEXT(SalesData[[#This Row],[Order Date]],"mmm")</f>
        <v>May</v>
      </c>
      <c r="S451" s="2" t="str">
        <f>"Q"&amp;ROUNDUP(MONTH(SalesData[[#This Row],[Order Date]])/3,0)</f>
        <v>Q2</v>
      </c>
      <c r="T451">
        <f>YEAR(SalesData[[#This Row],[Order Date]])</f>
        <v>2025</v>
      </c>
      <c r="U451">
        <f>SalesData[[#This Row],[Profit]]/SalesData[[#This Row],[Sales]]</f>
        <v>0.22222222222222221</v>
      </c>
    </row>
    <row r="452" spans="1:21" x14ac:dyDescent="0.25">
      <c r="A452" t="s">
        <v>699</v>
      </c>
      <c r="B452" s="1">
        <v>45699</v>
      </c>
      <c r="C452" t="s">
        <v>242</v>
      </c>
      <c r="D452" t="s">
        <v>119</v>
      </c>
      <c r="E452" t="s">
        <v>30</v>
      </c>
      <c r="F452" t="s">
        <v>31</v>
      </c>
      <c r="G452" t="s">
        <v>22</v>
      </c>
      <c r="H452" t="s">
        <v>46</v>
      </c>
      <c r="I452" t="s">
        <v>80</v>
      </c>
      <c r="J452">
        <v>7</v>
      </c>
      <c r="K452">
        <v>800</v>
      </c>
      <c r="L452">
        <v>5</v>
      </c>
      <c r="M452">
        <v>5320</v>
      </c>
      <c r="N452">
        <v>3920</v>
      </c>
      <c r="O452">
        <v>1400</v>
      </c>
      <c r="P452" t="s">
        <v>25</v>
      </c>
      <c r="Q452" t="s">
        <v>76</v>
      </c>
      <c r="R452" t="str">
        <f>TEXT(SalesData[[#This Row],[Order Date]],"mmm")</f>
        <v>Feb</v>
      </c>
      <c r="S452" s="2" t="str">
        <f>"Q"&amp;ROUNDUP(MONTH(SalesData[[#This Row],[Order Date]])/3,0)</f>
        <v>Q1</v>
      </c>
      <c r="T452">
        <f>YEAR(SalesData[[#This Row],[Order Date]])</f>
        <v>2025</v>
      </c>
      <c r="U452">
        <f>SalesData[[#This Row],[Profit]]/SalesData[[#This Row],[Sales]]</f>
        <v>0.26315789473684209</v>
      </c>
    </row>
    <row r="453" spans="1:21" x14ac:dyDescent="0.25">
      <c r="A453" t="s">
        <v>700</v>
      </c>
      <c r="B453" s="1">
        <v>45774</v>
      </c>
      <c r="C453" t="s">
        <v>270</v>
      </c>
      <c r="D453" t="s">
        <v>555</v>
      </c>
      <c r="E453" t="s">
        <v>44</v>
      </c>
      <c r="F453" t="s">
        <v>45</v>
      </c>
      <c r="G453" t="s">
        <v>22</v>
      </c>
      <c r="H453" t="s">
        <v>32</v>
      </c>
      <c r="I453" t="s">
        <v>66</v>
      </c>
      <c r="J453">
        <v>8</v>
      </c>
      <c r="K453">
        <v>9500</v>
      </c>
      <c r="L453">
        <v>20</v>
      </c>
      <c r="M453">
        <v>60800</v>
      </c>
      <c r="N453">
        <v>53200</v>
      </c>
      <c r="O453">
        <v>7600</v>
      </c>
      <c r="P453" t="s">
        <v>58</v>
      </c>
      <c r="Q453" t="s">
        <v>33</v>
      </c>
      <c r="R453" t="str">
        <f>TEXT(SalesData[[#This Row],[Order Date]],"mmm")</f>
        <v>Apr</v>
      </c>
      <c r="S453" s="2" t="str">
        <f>"Q"&amp;ROUNDUP(MONTH(SalesData[[#This Row],[Order Date]])/3,0)</f>
        <v>Q2</v>
      </c>
      <c r="T453">
        <f>YEAR(SalesData[[#This Row],[Order Date]])</f>
        <v>2025</v>
      </c>
      <c r="U453">
        <f>SalesData[[#This Row],[Profit]]/SalesData[[#This Row],[Sales]]</f>
        <v>0.125</v>
      </c>
    </row>
    <row r="454" spans="1:21" x14ac:dyDescent="0.25">
      <c r="A454" t="s">
        <v>701</v>
      </c>
      <c r="B454" s="1">
        <v>45727</v>
      </c>
      <c r="C454" t="s">
        <v>82</v>
      </c>
      <c r="D454" t="s">
        <v>352</v>
      </c>
      <c r="E454" t="s">
        <v>37</v>
      </c>
      <c r="F454" t="s">
        <v>38</v>
      </c>
      <c r="G454" t="s">
        <v>22</v>
      </c>
      <c r="H454" t="s">
        <v>46</v>
      </c>
      <c r="I454" t="s">
        <v>24</v>
      </c>
      <c r="J454">
        <v>5</v>
      </c>
      <c r="K454">
        <v>55000</v>
      </c>
      <c r="L454">
        <v>20</v>
      </c>
      <c r="M454">
        <v>220000</v>
      </c>
      <c r="N454">
        <v>192500</v>
      </c>
      <c r="O454">
        <v>27500</v>
      </c>
      <c r="P454" t="s">
        <v>54</v>
      </c>
      <c r="Q454" t="s">
        <v>76</v>
      </c>
      <c r="R454" t="str">
        <f>TEXT(SalesData[[#This Row],[Order Date]],"mmm")</f>
        <v>Mar</v>
      </c>
      <c r="S454" s="2" t="str">
        <f>"Q"&amp;ROUNDUP(MONTH(SalesData[[#This Row],[Order Date]])/3,0)</f>
        <v>Q1</v>
      </c>
      <c r="T454">
        <f>YEAR(SalesData[[#This Row],[Order Date]])</f>
        <v>2025</v>
      </c>
      <c r="U454">
        <f>SalesData[[#This Row],[Profit]]/SalesData[[#This Row],[Sales]]</f>
        <v>0.125</v>
      </c>
    </row>
    <row r="455" spans="1:21" x14ac:dyDescent="0.25">
      <c r="A455" t="s">
        <v>702</v>
      </c>
      <c r="B455" s="1">
        <v>45745</v>
      </c>
      <c r="C455" t="s">
        <v>216</v>
      </c>
      <c r="D455" t="s">
        <v>275</v>
      </c>
      <c r="E455" t="s">
        <v>44</v>
      </c>
      <c r="F455" t="s">
        <v>45</v>
      </c>
      <c r="G455" t="s">
        <v>22</v>
      </c>
      <c r="H455" t="s">
        <v>46</v>
      </c>
      <c r="I455" t="s">
        <v>53</v>
      </c>
      <c r="J455">
        <v>10</v>
      </c>
      <c r="K455">
        <v>9500</v>
      </c>
      <c r="L455">
        <v>5</v>
      </c>
      <c r="M455">
        <v>90250</v>
      </c>
      <c r="N455">
        <v>66500</v>
      </c>
      <c r="O455">
        <v>23750</v>
      </c>
      <c r="P455" t="s">
        <v>54</v>
      </c>
      <c r="Q455" t="s">
        <v>33</v>
      </c>
      <c r="R455" t="str">
        <f>TEXT(SalesData[[#This Row],[Order Date]],"mmm")</f>
        <v>Mar</v>
      </c>
      <c r="S455" s="2" t="str">
        <f>"Q"&amp;ROUNDUP(MONTH(SalesData[[#This Row],[Order Date]])/3,0)</f>
        <v>Q1</v>
      </c>
      <c r="T455">
        <f>YEAR(SalesData[[#This Row],[Order Date]])</f>
        <v>2025</v>
      </c>
      <c r="U455">
        <f>SalesData[[#This Row],[Profit]]/SalesData[[#This Row],[Sales]]</f>
        <v>0.26315789473684209</v>
      </c>
    </row>
    <row r="456" spans="1:21" x14ac:dyDescent="0.25">
      <c r="A456" t="s">
        <v>703</v>
      </c>
      <c r="B456" s="1">
        <v>45926</v>
      </c>
      <c r="C456" t="s">
        <v>265</v>
      </c>
      <c r="D456" t="s">
        <v>92</v>
      </c>
      <c r="E456" t="s">
        <v>93</v>
      </c>
      <c r="F456" t="s">
        <v>94</v>
      </c>
      <c r="G456" t="s">
        <v>64</v>
      </c>
      <c r="H456" t="s">
        <v>46</v>
      </c>
      <c r="I456" t="s">
        <v>72</v>
      </c>
      <c r="J456">
        <v>4</v>
      </c>
      <c r="K456">
        <v>4500</v>
      </c>
      <c r="L456">
        <v>20</v>
      </c>
      <c r="M456">
        <v>14400</v>
      </c>
      <c r="N456">
        <v>12600</v>
      </c>
      <c r="O456">
        <v>1800</v>
      </c>
      <c r="P456" t="s">
        <v>40</v>
      </c>
      <c r="Q456" t="s">
        <v>26</v>
      </c>
      <c r="R456" t="str">
        <f>TEXT(SalesData[[#This Row],[Order Date]],"mmm")</f>
        <v>Sep</v>
      </c>
      <c r="S456" s="2" t="str">
        <f>"Q"&amp;ROUNDUP(MONTH(SalesData[[#This Row],[Order Date]])/3,0)</f>
        <v>Q3</v>
      </c>
      <c r="T456">
        <f>YEAR(SalesData[[#This Row],[Order Date]])</f>
        <v>2025</v>
      </c>
      <c r="U456">
        <f>SalesData[[#This Row],[Profit]]/SalesData[[#This Row],[Sales]]</f>
        <v>0.125</v>
      </c>
    </row>
    <row r="457" spans="1:21" x14ac:dyDescent="0.25">
      <c r="A457" t="s">
        <v>704</v>
      </c>
      <c r="B457" s="1">
        <v>45680</v>
      </c>
      <c r="C457" t="s">
        <v>265</v>
      </c>
      <c r="D457" t="s">
        <v>422</v>
      </c>
      <c r="E457" t="s">
        <v>62</v>
      </c>
      <c r="F457" t="s">
        <v>63</v>
      </c>
      <c r="G457" t="s">
        <v>64</v>
      </c>
      <c r="H457" t="s">
        <v>65</v>
      </c>
      <c r="I457" t="s">
        <v>39</v>
      </c>
      <c r="J457">
        <v>5</v>
      </c>
      <c r="K457">
        <v>8500</v>
      </c>
      <c r="L457">
        <v>20</v>
      </c>
      <c r="M457">
        <v>34000</v>
      </c>
      <c r="N457">
        <v>29750</v>
      </c>
      <c r="O457">
        <v>4250.0000000000036</v>
      </c>
      <c r="P457" t="s">
        <v>58</v>
      </c>
      <c r="Q457" t="s">
        <v>26</v>
      </c>
      <c r="R457" t="str">
        <f>TEXT(SalesData[[#This Row],[Order Date]],"mmm")</f>
        <v>Jan</v>
      </c>
      <c r="S457" s="2" t="str">
        <f>"Q"&amp;ROUNDUP(MONTH(SalesData[[#This Row],[Order Date]])/3,0)</f>
        <v>Q1</v>
      </c>
      <c r="T457">
        <f>YEAR(SalesData[[#This Row],[Order Date]])</f>
        <v>2025</v>
      </c>
      <c r="U457">
        <f>SalesData[[#This Row],[Profit]]/SalesData[[#This Row],[Sales]]</f>
        <v>0.12500000000000011</v>
      </c>
    </row>
    <row r="458" spans="1:21" x14ac:dyDescent="0.25">
      <c r="A458" t="s">
        <v>705</v>
      </c>
      <c r="B458" s="1">
        <v>45661</v>
      </c>
      <c r="C458" t="s">
        <v>334</v>
      </c>
      <c r="D458" t="s">
        <v>142</v>
      </c>
      <c r="E458" t="s">
        <v>30</v>
      </c>
      <c r="F458" t="s">
        <v>31</v>
      </c>
      <c r="G458" t="s">
        <v>22</v>
      </c>
      <c r="H458" t="s">
        <v>65</v>
      </c>
      <c r="I458" t="s">
        <v>39</v>
      </c>
      <c r="J458">
        <v>8</v>
      </c>
      <c r="K458">
        <v>800</v>
      </c>
      <c r="L458">
        <v>20</v>
      </c>
      <c r="M458">
        <v>5120</v>
      </c>
      <c r="N458">
        <v>4480</v>
      </c>
      <c r="O458">
        <v>640</v>
      </c>
      <c r="P458" t="s">
        <v>58</v>
      </c>
      <c r="Q458" t="s">
        <v>33</v>
      </c>
      <c r="R458" t="str">
        <f>TEXT(SalesData[[#This Row],[Order Date]],"mmm")</f>
        <v>Jan</v>
      </c>
      <c r="S458" s="2" t="str">
        <f>"Q"&amp;ROUNDUP(MONTH(SalesData[[#This Row],[Order Date]])/3,0)</f>
        <v>Q1</v>
      </c>
      <c r="T458">
        <f>YEAR(SalesData[[#This Row],[Order Date]])</f>
        <v>2025</v>
      </c>
      <c r="U458">
        <f>SalesData[[#This Row],[Profit]]/SalesData[[#This Row],[Sales]]</f>
        <v>0.125</v>
      </c>
    </row>
    <row r="459" spans="1:21" x14ac:dyDescent="0.25">
      <c r="A459" t="s">
        <v>706</v>
      </c>
      <c r="B459" s="1">
        <v>45726</v>
      </c>
      <c r="C459" t="s">
        <v>466</v>
      </c>
      <c r="D459" t="s">
        <v>209</v>
      </c>
      <c r="E459" t="s">
        <v>62</v>
      </c>
      <c r="F459" t="s">
        <v>63</v>
      </c>
      <c r="G459" t="s">
        <v>64</v>
      </c>
      <c r="H459" t="s">
        <v>32</v>
      </c>
      <c r="I459" t="s">
        <v>66</v>
      </c>
      <c r="J459">
        <v>1</v>
      </c>
      <c r="K459">
        <v>8500</v>
      </c>
      <c r="L459">
        <v>5</v>
      </c>
      <c r="M459">
        <v>8075</v>
      </c>
      <c r="N459">
        <v>5950</v>
      </c>
      <c r="O459">
        <v>2125</v>
      </c>
      <c r="P459" t="s">
        <v>54</v>
      </c>
      <c r="Q459" t="s">
        <v>26</v>
      </c>
      <c r="R459" t="str">
        <f>TEXT(SalesData[[#This Row],[Order Date]],"mmm")</f>
        <v>Mar</v>
      </c>
      <c r="S459" s="2" t="str">
        <f>"Q"&amp;ROUNDUP(MONTH(SalesData[[#This Row],[Order Date]])/3,0)</f>
        <v>Q1</v>
      </c>
      <c r="T459">
        <f>YEAR(SalesData[[#This Row],[Order Date]])</f>
        <v>2025</v>
      </c>
      <c r="U459">
        <f>SalesData[[#This Row],[Profit]]/SalesData[[#This Row],[Sales]]</f>
        <v>0.26315789473684209</v>
      </c>
    </row>
    <row r="460" spans="1:21" x14ac:dyDescent="0.25">
      <c r="A460" t="s">
        <v>707</v>
      </c>
      <c r="B460" s="1">
        <v>45696</v>
      </c>
      <c r="C460" t="s">
        <v>381</v>
      </c>
      <c r="D460" t="s">
        <v>293</v>
      </c>
      <c r="E460" t="s">
        <v>37</v>
      </c>
      <c r="F460" t="s">
        <v>38</v>
      </c>
      <c r="G460" t="s">
        <v>22</v>
      </c>
      <c r="H460" t="s">
        <v>23</v>
      </c>
      <c r="I460" t="s">
        <v>53</v>
      </c>
      <c r="J460">
        <v>10</v>
      </c>
      <c r="K460">
        <v>55000</v>
      </c>
      <c r="L460">
        <v>20</v>
      </c>
      <c r="M460">
        <v>440000</v>
      </c>
      <c r="N460">
        <v>385000</v>
      </c>
      <c r="O460">
        <v>55000</v>
      </c>
      <c r="P460" t="s">
        <v>54</v>
      </c>
      <c r="Q460" t="s">
        <v>33</v>
      </c>
      <c r="R460" t="str">
        <f>TEXT(SalesData[[#This Row],[Order Date]],"mmm")</f>
        <v>Feb</v>
      </c>
      <c r="S460" s="2" t="str">
        <f>"Q"&amp;ROUNDUP(MONTH(SalesData[[#This Row],[Order Date]])/3,0)</f>
        <v>Q1</v>
      </c>
      <c r="T460">
        <f>YEAR(SalesData[[#This Row],[Order Date]])</f>
        <v>2025</v>
      </c>
      <c r="U460">
        <f>SalesData[[#This Row],[Profit]]/SalesData[[#This Row],[Sales]]</f>
        <v>0.125</v>
      </c>
    </row>
    <row r="461" spans="1:21" x14ac:dyDescent="0.25">
      <c r="A461" t="s">
        <v>708</v>
      </c>
      <c r="B461" s="1">
        <v>46021</v>
      </c>
      <c r="C461" t="s">
        <v>476</v>
      </c>
      <c r="D461" t="s">
        <v>446</v>
      </c>
      <c r="E461" t="s">
        <v>50</v>
      </c>
      <c r="F461" t="s">
        <v>51</v>
      </c>
      <c r="G461" t="s">
        <v>52</v>
      </c>
      <c r="H461" t="s">
        <v>23</v>
      </c>
      <c r="I461" t="s">
        <v>72</v>
      </c>
      <c r="J461">
        <v>3</v>
      </c>
      <c r="K461">
        <v>3200</v>
      </c>
      <c r="L461">
        <v>15</v>
      </c>
      <c r="M461">
        <v>8160</v>
      </c>
      <c r="N461">
        <v>6720</v>
      </c>
      <c r="O461">
        <v>1440</v>
      </c>
      <c r="P461" t="s">
        <v>40</v>
      </c>
      <c r="Q461" t="s">
        <v>26</v>
      </c>
      <c r="R461" t="str">
        <f>TEXT(SalesData[[#This Row],[Order Date]],"mmm")</f>
        <v>Dec</v>
      </c>
      <c r="S461" s="2" t="str">
        <f>"Q"&amp;ROUNDUP(MONTH(SalesData[[#This Row],[Order Date]])/3,0)</f>
        <v>Q4</v>
      </c>
      <c r="T461">
        <f>YEAR(SalesData[[#This Row],[Order Date]])</f>
        <v>2025</v>
      </c>
      <c r="U461">
        <f>SalesData[[#This Row],[Profit]]/SalesData[[#This Row],[Sales]]</f>
        <v>0.17647058823529413</v>
      </c>
    </row>
    <row r="462" spans="1:21" x14ac:dyDescent="0.25">
      <c r="A462" t="s">
        <v>709</v>
      </c>
      <c r="B462" s="1">
        <v>45741</v>
      </c>
      <c r="C462" t="s">
        <v>265</v>
      </c>
      <c r="D462" t="s">
        <v>555</v>
      </c>
      <c r="E462" t="s">
        <v>37</v>
      </c>
      <c r="F462" t="s">
        <v>38</v>
      </c>
      <c r="G462" t="s">
        <v>22</v>
      </c>
      <c r="H462" t="s">
        <v>46</v>
      </c>
      <c r="I462" t="s">
        <v>24</v>
      </c>
      <c r="J462">
        <v>5</v>
      </c>
      <c r="K462">
        <v>55000</v>
      </c>
      <c r="L462">
        <v>10</v>
      </c>
      <c r="M462">
        <v>247500</v>
      </c>
      <c r="N462">
        <v>192500</v>
      </c>
      <c r="O462">
        <v>55000</v>
      </c>
      <c r="P462" t="s">
        <v>40</v>
      </c>
      <c r="Q462" t="s">
        <v>33</v>
      </c>
      <c r="R462" t="str">
        <f>TEXT(SalesData[[#This Row],[Order Date]],"mmm")</f>
        <v>Mar</v>
      </c>
      <c r="S462" s="2" t="str">
        <f>"Q"&amp;ROUNDUP(MONTH(SalesData[[#This Row],[Order Date]])/3,0)</f>
        <v>Q1</v>
      </c>
      <c r="T462">
        <f>YEAR(SalesData[[#This Row],[Order Date]])</f>
        <v>2025</v>
      </c>
      <c r="U462">
        <f>SalesData[[#This Row],[Profit]]/SalesData[[#This Row],[Sales]]</f>
        <v>0.22222222222222221</v>
      </c>
    </row>
    <row r="463" spans="1:21" x14ac:dyDescent="0.25">
      <c r="A463" t="s">
        <v>710</v>
      </c>
      <c r="B463" s="1">
        <v>45989</v>
      </c>
      <c r="C463" t="s">
        <v>252</v>
      </c>
      <c r="D463" t="s">
        <v>295</v>
      </c>
      <c r="E463" t="s">
        <v>20</v>
      </c>
      <c r="F463" t="s">
        <v>21</v>
      </c>
      <c r="G463" t="s">
        <v>22</v>
      </c>
      <c r="H463" t="s">
        <v>46</v>
      </c>
      <c r="I463" t="s">
        <v>72</v>
      </c>
      <c r="J463">
        <v>5</v>
      </c>
      <c r="K463">
        <v>3500</v>
      </c>
      <c r="L463">
        <v>5</v>
      </c>
      <c r="M463">
        <v>16625</v>
      </c>
      <c r="N463">
        <v>12250</v>
      </c>
      <c r="O463">
        <v>4375</v>
      </c>
      <c r="P463" t="s">
        <v>54</v>
      </c>
      <c r="Q463" t="s">
        <v>26</v>
      </c>
      <c r="R463" t="str">
        <f>TEXT(SalesData[[#This Row],[Order Date]],"mmm")</f>
        <v>Nov</v>
      </c>
      <c r="S463" s="2" t="str">
        <f>"Q"&amp;ROUNDUP(MONTH(SalesData[[#This Row],[Order Date]])/3,0)</f>
        <v>Q4</v>
      </c>
      <c r="T463">
        <f>YEAR(SalesData[[#This Row],[Order Date]])</f>
        <v>2025</v>
      </c>
      <c r="U463">
        <f>SalesData[[#This Row],[Profit]]/SalesData[[#This Row],[Sales]]</f>
        <v>0.26315789473684209</v>
      </c>
    </row>
    <row r="464" spans="1:21" x14ac:dyDescent="0.25">
      <c r="A464" t="s">
        <v>711</v>
      </c>
      <c r="B464" s="1">
        <v>45906</v>
      </c>
      <c r="C464" t="s">
        <v>96</v>
      </c>
      <c r="D464" t="s">
        <v>238</v>
      </c>
      <c r="E464" t="s">
        <v>20</v>
      </c>
      <c r="F464" t="s">
        <v>21</v>
      </c>
      <c r="G464" t="s">
        <v>22</v>
      </c>
      <c r="H464" t="s">
        <v>46</v>
      </c>
      <c r="I464" t="s">
        <v>53</v>
      </c>
      <c r="J464">
        <v>3</v>
      </c>
      <c r="K464">
        <v>3500</v>
      </c>
      <c r="L464">
        <v>10</v>
      </c>
      <c r="M464">
        <v>9450</v>
      </c>
      <c r="N464">
        <v>7349.9999999999991</v>
      </c>
      <c r="O464">
        <v>2100.0000000000009</v>
      </c>
      <c r="P464" t="s">
        <v>54</v>
      </c>
      <c r="Q464" t="s">
        <v>76</v>
      </c>
      <c r="R464" t="str">
        <f>TEXT(SalesData[[#This Row],[Order Date]],"mmm")</f>
        <v>Sep</v>
      </c>
      <c r="S464" s="2" t="str">
        <f>"Q"&amp;ROUNDUP(MONTH(SalesData[[#This Row],[Order Date]])/3,0)</f>
        <v>Q3</v>
      </c>
      <c r="T464">
        <f>YEAR(SalesData[[#This Row],[Order Date]])</f>
        <v>2025</v>
      </c>
      <c r="U464">
        <f>SalesData[[#This Row],[Profit]]/SalesData[[#This Row],[Sales]]</f>
        <v>0.22222222222222232</v>
      </c>
    </row>
    <row r="465" spans="1:21" x14ac:dyDescent="0.25">
      <c r="A465" t="s">
        <v>712</v>
      </c>
      <c r="B465" s="1">
        <v>45684</v>
      </c>
      <c r="C465" t="s">
        <v>367</v>
      </c>
      <c r="D465" t="s">
        <v>183</v>
      </c>
      <c r="E465" t="s">
        <v>50</v>
      </c>
      <c r="F465" t="s">
        <v>51</v>
      </c>
      <c r="G465" t="s">
        <v>52</v>
      </c>
      <c r="H465" t="s">
        <v>65</v>
      </c>
      <c r="I465" t="s">
        <v>80</v>
      </c>
      <c r="J465">
        <v>7</v>
      </c>
      <c r="K465">
        <v>3200</v>
      </c>
      <c r="L465">
        <v>0</v>
      </c>
      <c r="M465">
        <v>22400</v>
      </c>
      <c r="N465">
        <v>15680</v>
      </c>
      <c r="O465">
        <v>6720.0000000000018</v>
      </c>
      <c r="P465" t="s">
        <v>25</v>
      </c>
      <c r="Q465" t="s">
        <v>26</v>
      </c>
      <c r="R465" t="str">
        <f>TEXT(SalesData[[#This Row],[Order Date]],"mmm")</f>
        <v>Jan</v>
      </c>
      <c r="S465" s="2" t="str">
        <f>"Q"&amp;ROUNDUP(MONTH(SalesData[[#This Row],[Order Date]])/3,0)</f>
        <v>Q1</v>
      </c>
      <c r="T465">
        <f>YEAR(SalesData[[#This Row],[Order Date]])</f>
        <v>2025</v>
      </c>
      <c r="U465">
        <f>SalesData[[#This Row],[Profit]]/SalesData[[#This Row],[Sales]]</f>
        <v>0.3000000000000001</v>
      </c>
    </row>
    <row r="466" spans="1:21" x14ac:dyDescent="0.25">
      <c r="A466" t="s">
        <v>713</v>
      </c>
      <c r="B466" s="1">
        <v>45667</v>
      </c>
      <c r="C466" t="s">
        <v>623</v>
      </c>
      <c r="D466" t="s">
        <v>275</v>
      </c>
      <c r="E466" t="s">
        <v>50</v>
      </c>
      <c r="F466" t="s">
        <v>51</v>
      </c>
      <c r="G466" t="s">
        <v>52</v>
      </c>
      <c r="H466" t="s">
        <v>23</v>
      </c>
      <c r="I466" t="s">
        <v>24</v>
      </c>
      <c r="J466">
        <v>2</v>
      </c>
      <c r="K466">
        <v>3200</v>
      </c>
      <c r="L466">
        <v>5</v>
      </c>
      <c r="M466">
        <v>6080</v>
      </c>
      <c r="N466">
        <v>4480</v>
      </c>
      <c r="O466">
        <v>1600</v>
      </c>
      <c r="P466" t="s">
        <v>25</v>
      </c>
      <c r="Q466" t="s">
        <v>33</v>
      </c>
      <c r="R466" t="str">
        <f>TEXT(SalesData[[#This Row],[Order Date]],"mmm")</f>
        <v>Jan</v>
      </c>
      <c r="S466" s="2" t="str">
        <f>"Q"&amp;ROUNDUP(MONTH(SalesData[[#This Row],[Order Date]])/3,0)</f>
        <v>Q1</v>
      </c>
      <c r="T466">
        <f>YEAR(SalesData[[#This Row],[Order Date]])</f>
        <v>2025</v>
      </c>
      <c r="U466">
        <f>SalesData[[#This Row],[Profit]]/SalesData[[#This Row],[Sales]]</f>
        <v>0.26315789473684209</v>
      </c>
    </row>
    <row r="467" spans="1:21" x14ac:dyDescent="0.25">
      <c r="A467" t="s">
        <v>714</v>
      </c>
      <c r="B467" s="1">
        <v>45714</v>
      </c>
      <c r="C467" t="s">
        <v>214</v>
      </c>
      <c r="D467" t="s">
        <v>329</v>
      </c>
      <c r="E467" t="s">
        <v>44</v>
      </c>
      <c r="F467" t="s">
        <v>45</v>
      </c>
      <c r="G467" t="s">
        <v>22</v>
      </c>
      <c r="H467" t="s">
        <v>32</v>
      </c>
      <c r="I467" t="s">
        <v>53</v>
      </c>
      <c r="J467">
        <v>7</v>
      </c>
      <c r="K467">
        <v>9500</v>
      </c>
      <c r="L467">
        <v>15</v>
      </c>
      <c r="M467">
        <v>56525</v>
      </c>
      <c r="N467">
        <v>46550</v>
      </c>
      <c r="O467">
        <v>9975</v>
      </c>
      <c r="P467" t="s">
        <v>25</v>
      </c>
      <c r="Q467" t="s">
        <v>76</v>
      </c>
      <c r="R467" t="str">
        <f>TEXT(SalesData[[#This Row],[Order Date]],"mmm")</f>
        <v>Feb</v>
      </c>
      <c r="S467" s="2" t="str">
        <f>"Q"&amp;ROUNDUP(MONTH(SalesData[[#This Row],[Order Date]])/3,0)</f>
        <v>Q1</v>
      </c>
      <c r="T467">
        <f>YEAR(SalesData[[#This Row],[Order Date]])</f>
        <v>2025</v>
      </c>
      <c r="U467">
        <f>SalesData[[#This Row],[Profit]]/SalesData[[#This Row],[Sales]]</f>
        <v>0.17647058823529413</v>
      </c>
    </row>
    <row r="468" spans="1:21" x14ac:dyDescent="0.25">
      <c r="A468" t="s">
        <v>715</v>
      </c>
      <c r="B468" s="1">
        <v>45706</v>
      </c>
      <c r="C468" t="s">
        <v>85</v>
      </c>
      <c r="D468" t="s">
        <v>389</v>
      </c>
      <c r="E468" t="s">
        <v>20</v>
      </c>
      <c r="F468" t="s">
        <v>21</v>
      </c>
      <c r="G468" t="s">
        <v>22</v>
      </c>
      <c r="H468" t="s">
        <v>46</v>
      </c>
      <c r="I468" t="s">
        <v>39</v>
      </c>
      <c r="J468">
        <v>3</v>
      </c>
      <c r="K468">
        <v>3500</v>
      </c>
      <c r="L468">
        <v>15</v>
      </c>
      <c r="M468">
        <v>8925</v>
      </c>
      <c r="N468">
        <v>7349.9999999999991</v>
      </c>
      <c r="O468">
        <v>1575.0000000000009</v>
      </c>
      <c r="P468" t="s">
        <v>40</v>
      </c>
      <c r="Q468" t="s">
        <v>26</v>
      </c>
      <c r="R468" t="str">
        <f>TEXT(SalesData[[#This Row],[Order Date]],"mmm")</f>
        <v>Feb</v>
      </c>
      <c r="S468" s="2" t="str">
        <f>"Q"&amp;ROUNDUP(MONTH(SalesData[[#This Row],[Order Date]])/3,0)</f>
        <v>Q1</v>
      </c>
      <c r="T468">
        <f>YEAR(SalesData[[#This Row],[Order Date]])</f>
        <v>2025</v>
      </c>
      <c r="U468">
        <f>SalesData[[#This Row],[Profit]]/SalesData[[#This Row],[Sales]]</f>
        <v>0.17647058823529421</v>
      </c>
    </row>
    <row r="469" spans="1:21" x14ac:dyDescent="0.25">
      <c r="A469" t="s">
        <v>716</v>
      </c>
      <c r="B469" s="1">
        <v>45823</v>
      </c>
      <c r="C469" t="s">
        <v>155</v>
      </c>
      <c r="D469" t="s">
        <v>717</v>
      </c>
      <c r="E469" t="s">
        <v>62</v>
      </c>
      <c r="F469" t="s">
        <v>63</v>
      </c>
      <c r="G469" t="s">
        <v>64</v>
      </c>
      <c r="H469" t="s">
        <v>32</v>
      </c>
      <c r="I469" t="s">
        <v>24</v>
      </c>
      <c r="J469">
        <v>1</v>
      </c>
      <c r="K469">
        <v>8500</v>
      </c>
      <c r="L469">
        <v>15</v>
      </c>
      <c r="M469">
        <v>7225</v>
      </c>
      <c r="N469">
        <v>5950</v>
      </c>
      <c r="O469">
        <v>1275</v>
      </c>
      <c r="P469" t="s">
        <v>25</v>
      </c>
      <c r="Q469" t="s">
        <v>76</v>
      </c>
      <c r="R469" t="str">
        <f>TEXT(SalesData[[#This Row],[Order Date]],"mmm")</f>
        <v>Jun</v>
      </c>
      <c r="S469" s="2" t="str">
        <f>"Q"&amp;ROUNDUP(MONTH(SalesData[[#This Row],[Order Date]])/3,0)</f>
        <v>Q2</v>
      </c>
      <c r="T469">
        <f>YEAR(SalesData[[#This Row],[Order Date]])</f>
        <v>2025</v>
      </c>
      <c r="U469">
        <f>SalesData[[#This Row],[Profit]]/SalesData[[#This Row],[Sales]]</f>
        <v>0.17647058823529413</v>
      </c>
    </row>
    <row r="470" spans="1:21" x14ac:dyDescent="0.25">
      <c r="A470" t="s">
        <v>718</v>
      </c>
      <c r="B470" s="1">
        <v>45960</v>
      </c>
      <c r="C470" t="s">
        <v>471</v>
      </c>
      <c r="D470" t="s">
        <v>350</v>
      </c>
      <c r="E470" t="s">
        <v>70</v>
      </c>
      <c r="F470" t="s">
        <v>71</v>
      </c>
      <c r="G470" t="s">
        <v>22</v>
      </c>
      <c r="H470" t="s">
        <v>23</v>
      </c>
      <c r="I470" t="s">
        <v>39</v>
      </c>
      <c r="J470">
        <v>3</v>
      </c>
      <c r="K470">
        <v>1500</v>
      </c>
      <c r="L470">
        <v>15</v>
      </c>
      <c r="M470">
        <v>3825</v>
      </c>
      <c r="N470">
        <v>3150</v>
      </c>
      <c r="O470">
        <v>675</v>
      </c>
      <c r="P470" t="s">
        <v>54</v>
      </c>
      <c r="Q470" t="s">
        <v>26</v>
      </c>
      <c r="R470" t="str">
        <f>TEXT(SalesData[[#This Row],[Order Date]],"mmm")</f>
        <v>Oct</v>
      </c>
      <c r="S470" s="2" t="str">
        <f>"Q"&amp;ROUNDUP(MONTH(SalesData[[#This Row],[Order Date]])/3,0)</f>
        <v>Q4</v>
      </c>
      <c r="T470">
        <f>YEAR(SalesData[[#This Row],[Order Date]])</f>
        <v>2025</v>
      </c>
      <c r="U470">
        <f>SalesData[[#This Row],[Profit]]/SalesData[[#This Row],[Sales]]</f>
        <v>0.17647058823529413</v>
      </c>
    </row>
    <row r="471" spans="1:21" x14ac:dyDescent="0.25">
      <c r="A471" t="s">
        <v>719</v>
      </c>
      <c r="B471" s="1">
        <v>45806</v>
      </c>
      <c r="C471" t="s">
        <v>219</v>
      </c>
      <c r="D471" t="s">
        <v>108</v>
      </c>
      <c r="E471" t="s">
        <v>70</v>
      </c>
      <c r="F471" t="s">
        <v>71</v>
      </c>
      <c r="G471" t="s">
        <v>22</v>
      </c>
      <c r="H471" t="s">
        <v>23</v>
      </c>
      <c r="I471" t="s">
        <v>66</v>
      </c>
      <c r="J471">
        <v>10</v>
      </c>
      <c r="K471">
        <v>1500</v>
      </c>
      <c r="L471">
        <v>0</v>
      </c>
      <c r="M471">
        <v>15000</v>
      </c>
      <c r="N471">
        <v>10500</v>
      </c>
      <c r="O471">
        <v>4500</v>
      </c>
      <c r="P471" t="s">
        <v>58</v>
      </c>
      <c r="Q471" t="s">
        <v>33</v>
      </c>
      <c r="R471" t="str">
        <f>TEXT(SalesData[[#This Row],[Order Date]],"mmm")</f>
        <v>May</v>
      </c>
      <c r="S471" s="2" t="str">
        <f>"Q"&amp;ROUNDUP(MONTH(SalesData[[#This Row],[Order Date]])/3,0)</f>
        <v>Q2</v>
      </c>
      <c r="T471">
        <f>YEAR(SalesData[[#This Row],[Order Date]])</f>
        <v>2025</v>
      </c>
      <c r="U471">
        <f>SalesData[[#This Row],[Profit]]/SalesData[[#This Row],[Sales]]</f>
        <v>0.3</v>
      </c>
    </row>
    <row r="472" spans="1:21" x14ac:dyDescent="0.25">
      <c r="A472" t="s">
        <v>720</v>
      </c>
      <c r="B472" s="1">
        <v>45752</v>
      </c>
      <c r="C472" t="s">
        <v>112</v>
      </c>
      <c r="D472" t="s">
        <v>86</v>
      </c>
      <c r="E472" t="s">
        <v>30</v>
      </c>
      <c r="F472" t="s">
        <v>31</v>
      </c>
      <c r="G472" t="s">
        <v>22</v>
      </c>
      <c r="H472" t="s">
        <v>23</v>
      </c>
      <c r="I472" t="s">
        <v>24</v>
      </c>
      <c r="J472">
        <v>5</v>
      </c>
      <c r="K472">
        <v>800</v>
      </c>
      <c r="L472">
        <v>5</v>
      </c>
      <c r="M472">
        <v>3800</v>
      </c>
      <c r="N472">
        <v>2800</v>
      </c>
      <c r="O472">
        <v>1000</v>
      </c>
      <c r="P472" t="s">
        <v>25</v>
      </c>
      <c r="Q472" t="s">
        <v>76</v>
      </c>
      <c r="R472" t="str">
        <f>TEXT(SalesData[[#This Row],[Order Date]],"mmm")</f>
        <v>Apr</v>
      </c>
      <c r="S472" s="2" t="str">
        <f>"Q"&amp;ROUNDUP(MONTH(SalesData[[#This Row],[Order Date]])/3,0)</f>
        <v>Q2</v>
      </c>
      <c r="T472">
        <f>YEAR(SalesData[[#This Row],[Order Date]])</f>
        <v>2025</v>
      </c>
      <c r="U472">
        <f>SalesData[[#This Row],[Profit]]/SalesData[[#This Row],[Sales]]</f>
        <v>0.26315789473684209</v>
      </c>
    </row>
    <row r="473" spans="1:21" x14ac:dyDescent="0.25">
      <c r="A473" t="s">
        <v>721</v>
      </c>
      <c r="B473" s="1">
        <v>45882</v>
      </c>
      <c r="C473" t="s">
        <v>221</v>
      </c>
      <c r="D473" t="s">
        <v>145</v>
      </c>
      <c r="E473" t="s">
        <v>20</v>
      </c>
      <c r="F473" t="s">
        <v>21</v>
      </c>
      <c r="G473" t="s">
        <v>22</v>
      </c>
      <c r="H473" t="s">
        <v>65</v>
      </c>
      <c r="I473" t="s">
        <v>24</v>
      </c>
      <c r="J473">
        <v>4</v>
      </c>
      <c r="K473">
        <v>3500</v>
      </c>
      <c r="L473">
        <v>15</v>
      </c>
      <c r="M473">
        <v>11900</v>
      </c>
      <c r="N473">
        <v>9800</v>
      </c>
      <c r="O473">
        <v>2100</v>
      </c>
      <c r="P473" t="s">
        <v>58</v>
      </c>
      <c r="Q473" t="s">
        <v>33</v>
      </c>
      <c r="R473" t="str">
        <f>TEXT(SalesData[[#This Row],[Order Date]],"mmm")</f>
        <v>Aug</v>
      </c>
      <c r="S473" s="2" t="str">
        <f>"Q"&amp;ROUNDUP(MONTH(SalesData[[#This Row],[Order Date]])/3,0)</f>
        <v>Q3</v>
      </c>
      <c r="T473">
        <f>YEAR(SalesData[[#This Row],[Order Date]])</f>
        <v>2025</v>
      </c>
      <c r="U473">
        <f>SalesData[[#This Row],[Profit]]/SalesData[[#This Row],[Sales]]</f>
        <v>0.17647058823529413</v>
      </c>
    </row>
    <row r="474" spans="1:21" x14ac:dyDescent="0.25">
      <c r="A474" t="s">
        <v>722</v>
      </c>
      <c r="B474" s="1">
        <v>45826</v>
      </c>
      <c r="C474" t="s">
        <v>56</v>
      </c>
      <c r="D474" t="s">
        <v>161</v>
      </c>
      <c r="E474" t="s">
        <v>37</v>
      </c>
      <c r="F474" t="s">
        <v>38</v>
      </c>
      <c r="G474" t="s">
        <v>22</v>
      </c>
      <c r="H474" t="s">
        <v>46</v>
      </c>
      <c r="I474" t="s">
        <v>24</v>
      </c>
      <c r="J474">
        <v>7</v>
      </c>
      <c r="K474">
        <v>55000</v>
      </c>
      <c r="L474">
        <v>15</v>
      </c>
      <c r="M474">
        <v>327250</v>
      </c>
      <c r="N474">
        <v>269500</v>
      </c>
      <c r="O474">
        <v>57750</v>
      </c>
      <c r="P474" t="s">
        <v>25</v>
      </c>
      <c r="Q474" t="s">
        <v>76</v>
      </c>
      <c r="R474" t="str">
        <f>TEXT(SalesData[[#This Row],[Order Date]],"mmm")</f>
        <v>Jun</v>
      </c>
      <c r="S474" s="2" t="str">
        <f>"Q"&amp;ROUNDUP(MONTH(SalesData[[#This Row],[Order Date]])/3,0)</f>
        <v>Q2</v>
      </c>
      <c r="T474">
        <f>YEAR(SalesData[[#This Row],[Order Date]])</f>
        <v>2025</v>
      </c>
      <c r="U474">
        <f>SalesData[[#This Row],[Profit]]/SalesData[[#This Row],[Sales]]</f>
        <v>0.17647058823529413</v>
      </c>
    </row>
    <row r="475" spans="1:21" x14ac:dyDescent="0.25">
      <c r="A475" t="s">
        <v>723</v>
      </c>
      <c r="B475" s="1">
        <v>45941</v>
      </c>
      <c r="C475" t="s">
        <v>345</v>
      </c>
      <c r="D475" t="s">
        <v>420</v>
      </c>
      <c r="E475" t="s">
        <v>44</v>
      </c>
      <c r="F475" t="s">
        <v>45</v>
      </c>
      <c r="G475" t="s">
        <v>22</v>
      </c>
      <c r="H475" t="s">
        <v>46</v>
      </c>
      <c r="I475" t="s">
        <v>80</v>
      </c>
      <c r="J475">
        <v>10</v>
      </c>
      <c r="K475">
        <v>9500</v>
      </c>
      <c r="L475">
        <v>0</v>
      </c>
      <c r="M475">
        <v>95000</v>
      </c>
      <c r="N475">
        <v>66500</v>
      </c>
      <c r="O475">
        <v>28500</v>
      </c>
      <c r="P475" t="s">
        <v>54</v>
      </c>
      <c r="Q475" t="s">
        <v>26</v>
      </c>
      <c r="R475" t="str">
        <f>TEXT(SalesData[[#This Row],[Order Date]],"mmm")</f>
        <v>Oct</v>
      </c>
      <c r="S475" s="2" t="str">
        <f>"Q"&amp;ROUNDUP(MONTH(SalesData[[#This Row],[Order Date]])/3,0)</f>
        <v>Q4</v>
      </c>
      <c r="T475">
        <f>YEAR(SalesData[[#This Row],[Order Date]])</f>
        <v>2025</v>
      </c>
      <c r="U475">
        <f>SalesData[[#This Row],[Profit]]/SalesData[[#This Row],[Sales]]</f>
        <v>0.3</v>
      </c>
    </row>
    <row r="476" spans="1:21" x14ac:dyDescent="0.25">
      <c r="A476" t="s">
        <v>724</v>
      </c>
      <c r="B476" s="1">
        <v>45802</v>
      </c>
      <c r="C476" t="s">
        <v>56</v>
      </c>
      <c r="D476" t="s">
        <v>49</v>
      </c>
      <c r="E476" t="s">
        <v>37</v>
      </c>
      <c r="F476" t="s">
        <v>38</v>
      </c>
      <c r="G476" t="s">
        <v>22</v>
      </c>
      <c r="H476" t="s">
        <v>46</v>
      </c>
      <c r="I476" t="s">
        <v>24</v>
      </c>
      <c r="J476">
        <v>5</v>
      </c>
      <c r="K476">
        <v>55000</v>
      </c>
      <c r="L476">
        <v>10</v>
      </c>
      <c r="M476">
        <v>247500</v>
      </c>
      <c r="N476">
        <v>192500</v>
      </c>
      <c r="O476">
        <v>55000</v>
      </c>
      <c r="P476" t="s">
        <v>25</v>
      </c>
      <c r="Q476" t="s">
        <v>33</v>
      </c>
      <c r="R476" t="str">
        <f>TEXT(SalesData[[#This Row],[Order Date]],"mmm")</f>
        <v>May</v>
      </c>
      <c r="S476" s="2" t="str">
        <f>"Q"&amp;ROUNDUP(MONTH(SalesData[[#This Row],[Order Date]])/3,0)</f>
        <v>Q2</v>
      </c>
      <c r="T476">
        <f>YEAR(SalesData[[#This Row],[Order Date]])</f>
        <v>2025</v>
      </c>
      <c r="U476">
        <f>SalesData[[#This Row],[Profit]]/SalesData[[#This Row],[Sales]]</f>
        <v>0.22222222222222221</v>
      </c>
    </row>
    <row r="477" spans="1:21" x14ac:dyDescent="0.25">
      <c r="A477" t="s">
        <v>725</v>
      </c>
      <c r="B477" s="1">
        <v>45841</v>
      </c>
      <c r="C477" t="s">
        <v>250</v>
      </c>
      <c r="D477" t="s">
        <v>69</v>
      </c>
      <c r="E477" t="s">
        <v>30</v>
      </c>
      <c r="F477" t="s">
        <v>31</v>
      </c>
      <c r="G477" t="s">
        <v>22</v>
      </c>
      <c r="H477" t="s">
        <v>65</v>
      </c>
      <c r="I477" t="s">
        <v>39</v>
      </c>
      <c r="J477">
        <v>10</v>
      </c>
      <c r="K477">
        <v>800</v>
      </c>
      <c r="L477">
        <v>10</v>
      </c>
      <c r="M477">
        <v>7200</v>
      </c>
      <c r="N477">
        <v>5600</v>
      </c>
      <c r="O477">
        <v>1600</v>
      </c>
      <c r="P477" t="s">
        <v>25</v>
      </c>
      <c r="Q477" t="s">
        <v>26</v>
      </c>
      <c r="R477" t="str">
        <f>TEXT(SalesData[[#This Row],[Order Date]],"mmm")</f>
        <v>Jul</v>
      </c>
      <c r="S477" s="2" t="str">
        <f>"Q"&amp;ROUNDUP(MONTH(SalesData[[#This Row],[Order Date]])/3,0)</f>
        <v>Q3</v>
      </c>
      <c r="T477">
        <f>YEAR(SalesData[[#This Row],[Order Date]])</f>
        <v>2025</v>
      </c>
      <c r="U477">
        <f>SalesData[[#This Row],[Profit]]/SalesData[[#This Row],[Sales]]</f>
        <v>0.22222222222222221</v>
      </c>
    </row>
    <row r="478" spans="1:21" x14ac:dyDescent="0.25">
      <c r="A478" t="s">
        <v>726</v>
      </c>
      <c r="B478" s="1">
        <v>45895</v>
      </c>
      <c r="C478" t="s">
        <v>91</v>
      </c>
      <c r="D478" t="s">
        <v>235</v>
      </c>
      <c r="E478" t="s">
        <v>62</v>
      </c>
      <c r="F478" t="s">
        <v>63</v>
      </c>
      <c r="G478" t="s">
        <v>64</v>
      </c>
      <c r="H478" t="s">
        <v>65</v>
      </c>
      <c r="I478" t="s">
        <v>72</v>
      </c>
      <c r="J478">
        <v>3</v>
      </c>
      <c r="K478">
        <v>8500</v>
      </c>
      <c r="L478">
        <v>20</v>
      </c>
      <c r="M478">
        <v>20400</v>
      </c>
      <c r="N478">
        <v>17850</v>
      </c>
      <c r="O478">
        <v>2550</v>
      </c>
      <c r="P478" t="s">
        <v>54</v>
      </c>
      <c r="Q478" t="s">
        <v>33</v>
      </c>
      <c r="R478" t="str">
        <f>TEXT(SalesData[[#This Row],[Order Date]],"mmm")</f>
        <v>Aug</v>
      </c>
      <c r="S478" s="2" t="str">
        <f>"Q"&amp;ROUNDUP(MONTH(SalesData[[#This Row],[Order Date]])/3,0)</f>
        <v>Q3</v>
      </c>
      <c r="T478">
        <f>YEAR(SalesData[[#This Row],[Order Date]])</f>
        <v>2025</v>
      </c>
      <c r="U478">
        <f>SalesData[[#This Row],[Profit]]/SalesData[[#This Row],[Sales]]</f>
        <v>0.125</v>
      </c>
    </row>
    <row r="479" spans="1:21" x14ac:dyDescent="0.25">
      <c r="A479" t="s">
        <v>727</v>
      </c>
      <c r="B479" s="1">
        <v>45672</v>
      </c>
      <c r="C479" t="s">
        <v>345</v>
      </c>
      <c r="D479" t="s">
        <v>420</v>
      </c>
      <c r="E479" t="s">
        <v>70</v>
      </c>
      <c r="F479" t="s">
        <v>71</v>
      </c>
      <c r="G479" t="s">
        <v>22</v>
      </c>
      <c r="H479" t="s">
        <v>65</v>
      </c>
      <c r="I479" t="s">
        <v>80</v>
      </c>
      <c r="J479">
        <v>6</v>
      </c>
      <c r="K479">
        <v>1500</v>
      </c>
      <c r="L479">
        <v>0</v>
      </c>
      <c r="M479">
        <v>9000</v>
      </c>
      <c r="N479">
        <v>6300</v>
      </c>
      <c r="O479">
        <v>2700</v>
      </c>
      <c r="P479" t="s">
        <v>40</v>
      </c>
      <c r="Q479" t="s">
        <v>76</v>
      </c>
      <c r="R479" t="str">
        <f>TEXT(SalesData[[#This Row],[Order Date]],"mmm")</f>
        <v>Jan</v>
      </c>
      <c r="S479" s="2" t="str">
        <f>"Q"&amp;ROUNDUP(MONTH(SalesData[[#This Row],[Order Date]])/3,0)</f>
        <v>Q1</v>
      </c>
      <c r="T479">
        <f>YEAR(SalesData[[#This Row],[Order Date]])</f>
        <v>2025</v>
      </c>
      <c r="U479">
        <f>SalesData[[#This Row],[Profit]]/SalesData[[#This Row],[Sales]]</f>
        <v>0.3</v>
      </c>
    </row>
    <row r="480" spans="1:21" x14ac:dyDescent="0.25">
      <c r="A480" t="s">
        <v>728</v>
      </c>
      <c r="B480" s="1">
        <v>45889</v>
      </c>
      <c r="C480" t="s">
        <v>418</v>
      </c>
      <c r="D480" t="s">
        <v>196</v>
      </c>
      <c r="E480" t="s">
        <v>62</v>
      </c>
      <c r="F480" t="s">
        <v>63</v>
      </c>
      <c r="G480" t="s">
        <v>64</v>
      </c>
      <c r="H480" t="s">
        <v>23</v>
      </c>
      <c r="I480" t="s">
        <v>53</v>
      </c>
      <c r="J480">
        <v>10</v>
      </c>
      <c r="K480">
        <v>8500</v>
      </c>
      <c r="L480">
        <v>0</v>
      </c>
      <c r="M480">
        <v>85000</v>
      </c>
      <c r="N480">
        <v>59499.999999999993</v>
      </c>
      <c r="O480">
        <v>25500.000000000011</v>
      </c>
      <c r="P480" t="s">
        <v>58</v>
      </c>
      <c r="Q480" t="s">
        <v>33</v>
      </c>
      <c r="R480" t="str">
        <f>TEXT(SalesData[[#This Row],[Order Date]],"mmm")</f>
        <v>Aug</v>
      </c>
      <c r="S480" s="2" t="str">
        <f>"Q"&amp;ROUNDUP(MONTH(SalesData[[#This Row],[Order Date]])/3,0)</f>
        <v>Q3</v>
      </c>
      <c r="T480">
        <f>YEAR(SalesData[[#This Row],[Order Date]])</f>
        <v>2025</v>
      </c>
      <c r="U480">
        <f>SalesData[[#This Row],[Profit]]/SalesData[[#This Row],[Sales]]</f>
        <v>0.30000000000000016</v>
      </c>
    </row>
    <row r="481" spans="1:21" x14ac:dyDescent="0.25">
      <c r="A481" t="s">
        <v>729</v>
      </c>
      <c r="B481" s="1">
        <v>45893</v>
      </c>
      <c r="C481" t="s">
        <v>91</v>
      </c>
      <c r="D481" t="s">
        <v>355</v>
      </c>
      <c r="E481" t="s">
        <v>62</v>
      </c>
      <c r="F481" t="s">
        <v>63</v>
      </c>
      <c r="G481" t="s">
        <v>64</v>
      </c>
      <c r="H481" t="s">
        <v>65</v>
      </c>
      <c r="I481" t="s">
        <v>39</v>
      </c>
      <c r="J481">
        <v>1</v>
      </c>
      <c r="K481">
        <v>8500</v>
      </c>
      <c r="L481">
        <v>5</v>
      </c>
      <c r="M481">
        <v>8075</v>
      </c>
      <c r="N481">
        <v>5950</v>
      </c>
      <c r="O481">
        <v>2125</v>
      </c>
      <c r="P481" t="s">
        <v>40</v>
      </c>
      <c r="Q481" t="s">
        <v>76</v>
      </c>
      <c r="R481" t="str">
        <f>TEXT(SalesData[[#This Row],[Order Date]],"mmm")</f>
        <v>Aug</v>
      </c>
      <c r="S481" s="2" t="str">
        <f>"Q"&amp;ROUNDUP(MONTH(SalesData[[#This Row],[Order Date]])/3,0)</f>
        <v>Q3</v>
      </c>
      <c r="T481">
        <f>YEAR(SalesData[[#This Row],[Order Date]])</f>
        <v>2025</v>
      </c>
      <c r="U481">
        <f>SalesData[[#This Row],[Profit]]/SalesData[[#This Row],[Sales]]</f>
        <v>0.26315789473684209</v>
      </c>
    </row>
    <row r="482" spans="1:21" x14ac:dyDescent="0.25">
      <c r="A482" t="s">
        <v>730</v>
      </c>
      <c r="B482" s="1">
        <v>45679</v>
      </c>
      <c r="C482" t="s">
        <v>283</v>
      </c>
      <c r="D482" t="s">
        <v>230</v>
      </c>
      <c r="E482" t="s">
        <v>50</v>
      </c>
      <c r="F482" t="s">
        <v>51</v>
      </c>
      <c r="G482" t="s">
        <v>52</v>
      </c>
      <c r="H482" t="s">
        <v>23</v>
      </c>
      <c r="I482" t="s">
        <v>24</v>
      </c>
      <c r="J482">
        <v>7</v>
      </c>
      <c r="K482">
        <v>3200</v>
      </c>
      <c r="L482">
        <v>10</v>
      </c>
      <c r="M482">
        <v>20160</v>
      </c>
      <c r="N482">
        <v>15680</v>
      </c>
      <c r="O482">
        <v>4480.0000000000018</v>
      </c>
      <c r="P482" t="s">
        <v>58</v>
      </c>
      <c r="Q482" t="s">
        <v>76</v>
      </c>
      <c r="R482" t="str">
        <f>TEXT(SalesData[[#This Row],[Order Date]],"mmm")</f>
        <v>Jan</v>
      </c>
      <c r="S482" s="2" t="str">
        <f>"Q"&amp;ROUNDUP(MONTH(SalesData[[#This Row],[Order Date]])/3,0)</f>
        <v>Q1</v>
      </c>
      <c r="T482">
        <f>YEAR(SalesData[[#This Row],[Order Date]])</f>
        <v>2025</v>
      </c>
      <c r="U482">
        <f>SalesData[[#This Row],[Profit]]/SalesData[[#This Row],[Sales]]</f>
        <v>0.22222222222222232</v>
      </c>
    </row>
    <row r="483" spans="1:21" x14ac:dyDescent="0.25">
      <c r="A483" t="s">
        <v>731</v>
      </c>
      <c r="B483" s="1">
        <v>45926</v>
      </c>
      <c r="C483" t="s">
        <v>325</v>
      </c>
      <c r="D483" t="s">
        <v>201</v>
      </c>
      <c r="E483" t="s">
        <v>93</v>
      </c>
      <c r="F483" t="s">
        <v>94</v>
      </c>
      <c r="G483" t="s">
        <v>64</v>
      </c>
      <c r="H483" t="s">
        <v>23</v>
      </c>
      <c r="I483" t="s">
        <v>66</v>
      </c>
      <c r="J483">
        <v>2</v>
      </c>
      <c r="K483">
        <v>4500</v>
      </c>
      <c r="L483">
        <v>15</v>
      </c>
      <c r="M483">
        <v>7650</v>
      </c>
      <c r="N483">
        <v>6300</v>
      </c>
      <c r="O483">
        <v>1350</v>
      </c>
      <c r="P483" t="s">
        <v>54</v>
      </c>
      <c r="Q483" t="s">
        <v>26</v>
      </c>
      <c r="R483" t="str">
        <f>TEXT(SalesData[[#This Row],[Order Date]],"mmm")</f>
        <v>Sep</v>
      </c>
      <c r="S483" s="2" t="str">
        <f>"Q"&amp;ROUNDUP(MONTH(SalesData[[#This Row],[Order Date]])/3,0)</f>
        <v>Q3</v>
      </c>
      <c r="T483">
        <f>YEAR(SalesData[[#This Row],[Order Date]])</f>
        <v>2025</v>
      </c>
      <c r="U483">
        <f>SalesData[[#This Row],[Profit]]/SalesData[[#This Row],[Sales]]</f>
        <v>0.17647058823529413</v>
      </c>
    </row>
    <row r="484" spans="1:21" x14ac:dyDescent="0.25">
      <c r="A484" t="s">
        <v>732</v>
      </c>
      <c r="B484" s="1">
        <v>45934</v>
      </c>
      <c r="C484" t="s">
        <v>252</v>
      </c>
      <c r="D484" t="s">
        <v>188</v>
      </c>
      <c r="E484" t="s">
        <v>70</v>
      </c>
      <c r="F484" t="s">
        <v>71</v>
      </c>
      <c r="G484" t="s">
        <v>22</v>
      </c>
      <c r="H484" t="s">
        <v>32</v>
      </c>
      <c r="I484" t="s">
        <v>72</v>
      </c>
      <c r="J484">
        <v>1</v>
      </c>
      <c r="K484">
        <v>1500</v>
      </c>
      <c r="L484">
        <v>5</v>
      </c>
      <c r="M484">
        <v>1425</v>
      </c>
      <c r="N484">
        <v>1050</v>
      </c>
      <c r="O484">
        <v>375</v>
      </c>
      <c r="P484" t="s">
        <v>54</v>
      </c>
      <c r="Q484" t="s">
        <v>76</v>
      </c>
      <c r="R484" t="str">
        <f>TEXT(SalesData[[#This Row],[Order Date]],"mmm")</f>
        <v>Oct</v>
      </c>
      <c r="S484" s="2" t="str">
        <f>"Q"&amp;ROUNDUP(MONTH(SalesData[[#This Row],[Order Date]])/3,0)</f>
        <v>Q4</v>
      </c>
      <c r="T484">
        <f>YEAR(SalesData[[#This Row],[Order Date]])</f>
        <v>2025</v>
      </c>
      <c r="U484">
        <f>SalesData[[#This Row],[Profit]]/SalesData[[#This Row],[Sales]]</f>
        <v>0.26315789473684209</v>
      </c>
    </row>
    <row r="485" spans="1:21" x14ac:dyDescent="0.25">
      <c r="A485" t="s">
        <v>733</v>
      </c>
      <c r="B485" s="1">
        <v>46019</v>
      </c>
      <c r="C485" t="s">
        <v>88</v>
      </c>
      <c r="D485" t="s">
        <v>224</v>
      </c>
      <c r="E485" t="s">
        <v>20</v>
      </c>
      <c r="F485" t="s">
        <v>21</v>
      </c>
      <c r="G485" t="s">
        <v>22</v>
      </c>
      <c r="H485" t="s">
        <v>32</v>
      </c>
      <c r="I485" t="s">
        <v>80</v>
      </c>
      <c r="J485">
        <v>6</v>
      </c>
      <c r="K485">
        <v>3500</v>
      </c>
      <c r="L485">
        <v>5</v>
      </c>
      <c r="M485">
        <v>19950</v>
      </c>
      <c r="N485">
        <v>14700</v>
      </c>
      <c r="O485">
        <v>5250.0000000000018</v>
      </c>
      <c r="P485" t="s">
        <v>58</v>
      </c>
      <c r="Q485" t="s">
        <v>76</v>
      </c>
      <c r="R485" t="str">
        <f>TEXT(SalesData[[#This Row],[Order Date]],"mmm")</f>
        <v>Dec</v>
      </c>
      <c r="S485" s="2" t="str">
        <f>"Q"&amp;ROUNDUP(MONTH(SalesData[[#This Row],[Order Date]])/3,0)</f>
        <v>Q4</v>
      </c>
      <c r="T485">
        <f>YEAR(SalesData[[#This Row],[Order Date]])</f>
        <v>2025</v>
      </c>
      <c r="U485">
        <f>SalesData[[#This Row],[Profit]]/SalesData[[#This Row],[Sales]]</f>
        <v>0.2631578947368422</v>
      </c>
    </row>
    <row r="486" spans="1:21" x14ac:dyDescent="0.25">
      <c r="A486" t="s">
        <v>734</v>
      </c>
      <c r="B486" s="1">
        <v>45707</v>
      </c>
      <c r="C486" t="s">
        <v>676</v>
      </c>
      <c r="D486" t="s">
        <v>179</v>
      </c>
      <c r="E486" t="s">
        <v>44</v>
      </c>
      <c r="F486" t="s">
        <v>45</v>
      </c>
      <c r="G486" t="s">
        <v>22</v>
      </c>
      <c r="H486" t="s">
        <v>65</v>
      </c>
      <c r="I486" t="s">
        <v>39</v>
      </c>
      <c r="J486">
        <v>10</v>
      </c>
      <c r="K486">
        <v>9500</v>
      </c>
      <c r="L486">
        <v>20</v>
      </c>
      <c r="M486">
        <v>76000</v>
      </c>
      <c r="N486">
        <v>66500</v>
      </c>
      <c r="O486">
        <v>9500</v>
      </c>
      <c r="P486" t="s">
        <v>40</v>
      </c>
      <c r="Q486" t="s">
        <v>33</v>
      </c>
      <c r="R486" t="str">
        <f>TEXT(SalesData[[#This Row],[Order Date]],"mmm")</f>
        <v>Feb</v>
      </c>
      <c r="S486" s="2" t="str">
        <f>"Q"&amp;ROUNDUP(MONTH(SalesData[[#This Row],[Order Date]])/3,0)</f>
        <v>Q1</v>
      </c>
      <c r="T486">
        <f>YEAR(SalesData[[#This Row],[Order Date]])</f>
        <v>2025</v>
      </c>
      <c r="U486">
        <f>SalesData[[#This Row],[Profit]]/SalesData[[#This Row],[Sales]]</f>
        <v>0.125</v>
      </c>
    </row>
    <row r="487" spans="1:21" x14ac:dyDescent="0.25">
      <c r="A487" t="s">
        <v>735</v>
      </c>
      <c r="B487" s="1">
        <v>45877</v>
      </c>
      <c r="C487" t="s">
        <v>144</v>
      </c>
      <c r="D487" t="s">
        <v>230</v>
      </c>
      <c r="E487" t="s">
        <v>37</v>
      </c>
      <c r="F487" t="s">
        <v>38</v>
      </c>
      <c r="G487" t="s">
        <v>22</v>
      </c>
      <c r="H487" t="s">
        <v>46</v>
      </c>
      <c r="I487" t="s">
        <v>66</v>
      </c>
      <c r="J487">
        <v>5</v>
      </c>
      <c r="K487">
        <v>55000</v>
      </c>
      <c r="L487">
        <v>0</v>
      </c>
      <c r="M487">
        <v>275000</v>
      </c>
      <c r="N487">
        <v>192500</v>
      </c>
      <c r="O487">
        <v>82500</v>
      </c>
      <c r="P487" t="s">
        <v>40</v>
      </c>
      <c r="Q487" t="s">
        <v>33</v>
      </c>
      <c r="R487" t="str">
        <f>TEXT(SalesData[[#This Row],[Order Date]],"mmm")</f>
        <v>Aug</v>
      </c>
      <c r="S487" s="2" t="str">
        <f>"Q"&amp;ROUNDUP(MONTH(SalesData[[#This Row],[Order Date]])/3,0)</f>
        <v>Q3</v>
      </c>
      <c r="T487">
        <f>YEAR(SalesData[[#This Row],[Order Date]])</f>
        <v>2025</v>
      </c>
      <c r="U487">
        <f>SalesData[[#This Row],[Profit]]/SalesData[[#This Row],[Sales]]</f>
        <v>0.3</v>
      </c>
    </row>
    <row r="488" spans="1:21" x14ac:dyDescent="0.25">
      <c r="A488" t="s">
        <v>736</v>
      </c>
      <c r="B488" s="1">
        <v>45829</v>
      </c>
      <c r="C488" t="s">
        <v>634</v>
      </c>
      <c r="D488" t="s">
        <v>505</v>
      </c>
      <c r="E488" t="s">
        <v>70</v>
      </c>
      <c r="F488" t="s">
        <v>71</v>
      </c>
      <c r="G488" t="s">
        <v>22</v>
      </c>
      <c r="H488" t="s">
        <v>32</v>
      </c>
      <c r="I488" t="s">
        <v>66</v>
      </c>
      <c r="J488">
        <v>8</v>
      </c>
      <c r="K488">
        <v>1500</v>
      </c>
      <c r="L488">
        <v>0</v>
      </c>
      <c r="M488">
        <v>12000</v>
      </c>
      <c r="N488">
        <v>8400</v>
      </c>
      <c r="O488">
        <v>3600</v>
      </c>
      <c r="P488" t="s">
        <v>58</v>
      </c>
      <c r="Q488" t="s">
        <v>33</v>
      </c>
      <c r="R488" t="str">
        <f>TEXT(SalesData[[#This Row],[Order Date]],"mmm")</f>
        <v>Jun</v>
      </c>
      <c r="S488" s="2" t="str">
        <f>"Q"&amp;ROUNDUP(MONTH(SalesData[[#This Row],[Order Date]])/3,0)</f>
        <v>Q2</v>
      </c>
      <c r="T488">
        <f>YEAR(SalesData[[#This Row],[Order Date]])</f>
        <v>2025</v>
      </c>
      <c r="U488">
        <f>SalesData[[#This Row],[Profit]]/SalesData[[#This Row],[Sales]]</f>
        <v>0.3</v>
      </c>
    </row>
    <row r="489" spans="1:21" x14ac:dyDescent="0.25">
      <c r="A489" t="s">
        <v>737</v>
      </c>
      <c r="B489" s="1">
        <v>45832</v>
      </c>
      <c r="C489" t="s">
        <v>212</v>
      </c>
      <c r="D489" t="s">
        <v>320</v>
      </c>
      <c r="E489" t="s">
        <v>44</v>
      </c>
      <c r="F489" t="s">
        <v>45</v>
      </c>
      <c r="G489" t="s">
        <v>22</v>
      </c>
      <c r="H489" t="s">
        <v>65</v>
      </c>
      <c r="I489" t="s">
        <v>66</v>
      </c>
      <c r="J489">
        <v>10</v>
      </c>
      <c r="K489">
        <v>9500</v>
      </c>
      <c r="L489">
        <v>10</v>
      </c>
      <c r="M489">
        <v>85500</v>
      </c>
      <c r="N489">
        <v>66500</v>
      </c>
      <c r="O489">
        <v>19000</v>
      </c>
      <c r="P489" t="s">
        <v>40</v>
      </c>
      <c r="Q489" t="s">
        <v>76</v>
      </c>
      <c r="R489" t="str">
        <f>TEXT(SalesData[[#This Row],[Order Date]],"mmm")</f>
        <v>Jun</v>
      </c>
      <c r="S489" s="2" t="str">
        <f>"Q"&amp;ROUNDUP(MONTH(SalesData[[#This Row],[Order Date]])/3,0)</f>
        <v>Q2</v>
      </c>
      <c r="T489">
        <f>YEAR(SalesData[[#This Row],[Order Date]])</f>
        <v>2025</v>
      </c>
      <c r="U489">
        <f>SalesData[[#This Row],[Profit]]/SalesData[[#This Row],[Sales]]</f>
        <v>0.22222222222222221</v>
      </c>
    </row>
    <row r="490" spans="1:21" x14ac:dyDescent="0.25">
      <c r="A490" t="s">
        <v>738</v>
      </c>
      <c r="B490" s="1">
        <v>45899</v>
      </c>
      <c r="C490" t="s">
        <v>277</v>
      </c>
      <c r="D490" t="s">
        <v>69</v>
      </c>
      <c r="E490" t="s">
        <v>70</v>
      </c>
      <c r="F490" t="s">
        <v>71</v>
      </c>
      <c r="G490" t="s">
        <v>22</v>
      </c>
      <c r="H490" t="s">
        <v>32</v>
      </c>
      <c r="I490" t="s">
        <v>39</v>
      </c>
      <c r="J490">
        <v>2</v>
      </c>
      <c r="K490">
        <v>1500</v>
      </c>
      <c r="L490">
        <v>15</v>
      </c>
      <c r="M490">
        <v>2550</v>
      </c>
      <c r="N490">
        <v>2100</v>
      </c>
      <c r="O490">
        <v>450</v>
      </c>
      <c r="P490" t="s">
        <v>40</v>
      </c>
      <c r="Q490" t="s">
        <v>76</v>
      </c>
      <c r="R490" t="str">
        <f>TEXT(SalesData[[#This Row],[Order Date]],"mmm")</f>
        <v>Aug</v>
      </c>
      <c r="S490" s="2" t="str">
        <f>"Q"&amp;ROUNDUP(MONTH(SalesData[[#This Row],[Order Date]])/3,0)</f>
        <v>Q3</v>
      </c>
      <c r="T490">
        <f>YEAR(SalesData[[#This Row],[Order Date]])</f>
        <v>2025</v>
      </c>
      <c r="U490">
        <f>SalesData[[#This Row],[Profit]]/SalesData[[#This Row],[Sales]]</f>
        <v>0.17647058823529413</v>
      </c>
    </row>
    <row r="491" spans="1:21" x14ac:dyDescent="0.25">
      <c r="A491" t="s">
        <v>739</v>
      </c>
      <c r="B491" s="1">
        <v>45900</v>
      </c>
      <c r="C491" t="s">
        <v>88</v>
      </c>
      <c r="D491" t="s">
        <v>103</v>
      </c>
      <c r="E491" t="s">
        <v>50</v>
      </c>
      <c r="F491" t="s">
        <v>51</v>
      </c>
      <c r="G491" t="s">
        <v>52</v>
      </c>
      <c r="H491" t="s">
        <v>23</v>
      </c>
      <c r="I491" t="s">
        <v>53</v>
      </c>
      <c r="J491">
        <v>6</v>
      </c>
      <c r="K491">
        <v>3200</v>
      </c>
      <c r="L491">
        <v>15</v>
      </c>
      <c r="M491">
        <v>16320</v>
      </c>
      <c r="N491">
        <v>13440</v>
      </c>
      <c r="O491">
        <v>2880</v>
      </c>
      <c r="P491" t="s">
        <v>54</v>
      </c>
      <c r="Q491" t="s">
        <v>26</v>
      </c>
      <c r="R491" t="str">
        <f>TEXT(SalesData[[#This Row],[Order Date]],"mmm")</f>
        <v>Aug</v>
      </c>
      <c r="S491" s="2" t="str">
        <f>"Q"&amp;ROUNDUP(MONTH(SalesData[[#This Row],[Order Date]])/3,0)</f>
        <v>Q3</v>
      </c>
      <c r="T491">
        <f>YEAR(SalesData[[#This Row],[Order Date]])</f>
        <v>2025</v>
      </c>
      <c r="U491">
        <f>SalesData[[#This Row],[Profit]]/SalesData[[#This Row],[Sales]]</f>
        <v>0.17647058823529413</v>
      </c>
    </row>
    <row r="492" spans="1:21" x14ac:dyDescent="0.25">
      <c r="A492" t="s">
        <v>740</v>
      </c>
      <c r="B492" s="1">
        <v>45871</v>
      </c>
      <c r="C492" t="s">
        <v>283</v>
      </c>
      <c r="D492" t="s">
        <v>670</v>
      </c>
      <c r="E492" t="s">
        <v>62</v>
      </c>
      <c r="F492" t="s">
        <v>63</v>
      </c>
      <c r="G492" t="s">
        <v>64</v>
      </c>
      <c r="H492" t="s">
        <v>65</v>
      </c>
      <c r="I492" t="s">
        <v>53</v>
      </c>
      <c r="J492">
        <v>1</v>
      </c>
      <c r="K492">
        <v>8500</v>
      </c>
      <c r="L492">
        <v>0</v>
      </c>
      <c r="M492">
        <v>8500</v>
      </c>
      <c r="N492">
        <v>5950</v>
      </c>
      <c r="O492">
        <v>2550</v>
      </c>
      <c r="P492" t="s">
        <v>58</v>
      </c>
      <c r="Q492" t="s">
        <v>26</v>
      </c>
      <c r="R492" t="str">
        <f>TEXT(SalesData[[#This Row],[Order Date]],"mmm")</f>
        <v>Aug</v>
      </c>
      <c r="S492" s="2" t="str">
        <f>"Q"&amp;ROUNDUP(MONTH(SalesData[[#This Row],[Order Date]])/3,0)</f>
        <v>Q3</v>
      </c>
      <c r="T492">
        <f>YEAR(SalesData[[#This Row],[Order Date]])</f>
        <v>2025</v>
      </c>
      <c r="U492">
        <f>SalesData[[#This Row],[Profit]]/SalesData[[#This Row],[Sales]]</f>
        <v>0.3</v>
      </c>
    </row>
    <row r="493" spans="1:21" x14ac:dyDescent="0.25">
      <c r="A493" t="s">
        <v>741</v>
      </c>
      <c r="B493" s="1">
        <v>45815</v>
      </c>
      <c r="C493" t="s">
        <v>323</v>
      </c>
      <c r="D493" t="s">
        <v>166</v>
      </c>
      <c r="E493" t="s">
        <v>50</v>
      </c>
      <c r="F493" t="s">
        <v>51</v>
      </c>
      <c r="G493" t="s">
        <v>52</v>
      </c>
      <c r="H493" t="s">
        <v>46</v>
      </c>
      <c r="I493" t="s">
        <v>72</v>
      </c>
      <c r="J493">
        <v>1</v>
      </c>
      <c r="K493">
        <v>3200</v>
      </c>
      <c r="L493">
        <v>15</v>
      </c>
      <c r="M493">
        <v>2720</v>
      </c>
      <c r="N493">
        <v>2240</v>
      </c>
      <c r="O493">
        <v>480</v>
      </c>
      <c r="P493" t="s">
        <v>58</v>
      </c>
      <c r="Q493" t="s">
        <v>76</v>
      </c>
      <c r="R493" t="str">
        <f>TEXT(SalesData[[#This Row],[Order Date]],"mmm")</f>
        <v>Jun</v>
      </c>
      <c r="S493" s="2" t="str">
        <f>"Q"&amp;ROUNDUP(MONTH(SalesData[[#This Row],[Order Date]])/3,0)</f>
        <v>Q2</v>
      </c>
      <c r="T493">
        <f>YEAR(SalesData[[#This Row],[Order Date]])</f>
        <v>2025</v>
      </c>
      <c r="U493">
        <f>SalesData[[#This Row],[Profit]]/SalesData[[#This Row],[Sales]]</f>
        <v>0.17647058823529413</v>
      </c>
    </row>
    <row r="494" spans="1:21" x14ac:dyDescent="0.25">
      <c r="A494" t="s">
        <v>742</v>
      </c>
      <c r="B494" s="1">
        <v>45730</v>
      </c>
      <c r="C494" t="s">
        <v>634</v>
      </c>
      <c r="D494" t="s">
        <v>49</v>
      </c>
      <c r="E494" t="s">
        <v>37</v>
      </c>
      <c r="F494" t="s">
        <v>38</v>
      </c>
      <c r="G494" t="s">
        <v>22</v>
      </c>
      <c r="H494" t="s">
        <v>32</v>
      </c>
      <c r="I494" t="s">
        <v>39</v>
      </c>
      <c r="J494">
        <v>8</v>
      </c>
      <c r="K494">
        <v>55000</v>
      </c>
      <c r="L494">
        <v>10</v>
      </c>
      <c r="M494">
        <v>396000</v>
      </c>
      <c r="N494">
        <v>308000</v>
      </c>
      <c r="O494">
        <v>88000</v>
      </c>
      <c r="P494" t="s">
        <v>58</v>
      </c>
      <c r="Q494" t="s">
        <v>76</v>
      </c>
      <c r="R494" t="str">
        <f>TEXT(SalesData[[#This Row],[Order Date]],"mmm")</f>
        <v>Mar</v>
      </c>
      <c r="S494" s="2" t="str">
        <f>"Q"&amp;ROUNDUP(MONTH(SalesData[[#This Row],[Order Date]])/3,0)</f>
        <v>Q1</v>
      </c>
      <c r="T494">
        <f>YEAR(SalesData[[#This Row],[Order Date]])</f>
        <v>2025</v>
      </c>
      <c r="U494">
        <f>SalesData[[#This Row],[Profit]]/SalesData[[#This Row],[Sales]]</f>
        <v>0.22222222222222221</v>
      </c>
    </row>
    <row r="495" spans="1:21" x14ac:dyDescent="0.25">
      <c r="A495" t="s">
        <v>743</v>
      </c>
      <c r="B495" s="1">
        <v>45722</v>
      </c>
      <c r="C495" t="s">
        <v>212</v>
      </c>
      <c r="D495" t="s">
        <v>191</v>
      </c>
      <c r="E495" t="s">
        <v>50</v>
      </c>
      <c r="F495" t="s">
        <v>51</v>
      </c>
      <c r="G495" t="s">
        <v>52</v>
      </c>
      <c r="H495" t="s">
        <v>65</v>
      </c>
      <c r="I495" t="s">
        <v>66</v>
      </c>
      <c r="J495">
        <v>2</v>
      </c>
      <c r="K495">
        <v>3200</v>
      </c>
      <c r="L495">
        <v>0</v>
      </c>
      <c r="M495">
        <v>6400</v>
      </c>
      <c r="N495">
        <v>4480</v>
      </c>
      <c r="O495">
        <v>1920</v>
      </c>
      <c r="P495" t="s">
        <v>40</v>
      </c>
      <c r="Q495" t="s">
        <v>76</v>
      </c>
      <c r="R495" t="str">
        <f>TEXT(SalesData[[#This Row],[Order Date]],"mmm")</f>
        <v>Mar</v>
      </c>
      <c r="S495" s="2" t="str">
        <f>"Q"&amp;ROUNDUP(MONTH(SalesData[[#This Row],[Order Date]])/3,0)</f>
        <v>Q1</v>
      </c>
      <c r="T495">
        <f>YEAR(SalesData[[#This Row],[Order Date]])</f>
        <v>2025</v>
      </c>
      <c r="U495">
        <f>SalesData[[#This Row],[Profit]]/SalesData[[#This Row],[Sales]]</f>
        <v>0.3</v>
      </c>
    </row>
    <row r="496" spans="1:21" x14ac:dyDescent="0.25">
      <c r="A496" t="s">
        <v>744</v>
      </c>
      <c r="B496" s="1">
        <v>45907</v>
      </c>
      <c r="C496" t="s">
        <v>216</v>
      </c>
      <c r="D496" t="s">
        <v>196</v>
      </c>
      <c r="E496" t="s">
        <v>70</v>
      </c>
      <c r="F496" t="s">
        <v>71</v>
      </c>
      <c r="G496" t="s">
        <v>22</v>
      </c>
      <c r="H496" t="s">
        <v>46</v>
      </c>
      <c r="I496" t="s">
        <v>53</v>
      </c>
      <c r="J496">
        <v>6</v>
      </c>
      <c r="K496">
        <v>1500</v>
      </c>
      <c r="L496">
        <v>20</v>
      </c>
      <c r="M496">
        <v>7200</v>
      </c>
      <c r="N496">
        <v>6300</v>
      </c>
      <c r="O496">
        <v>900</v>
      </c>
      <c r="P496" t="s">
        <v>58</v>
      </c>
      <c r="Q496" t="s">
        <v>33</v>
      </c>
      <c r="R496" t="str">
        <f>TEXT(SalesData[[#This Row],[Order Date]],"mmm")</f>
        <v>Sep</v>
      </c>
      <c r="S496" s="2" t="str">
        <f>"Q"&amp;ROUNDUP(MONTH(SalesData[[#This Row],[Order Date]])/3,0)</f>
        <v>Q3</v>
      </c>
      <c r="T496">
        <f>YEAR(SalesData[[#This Row],[Order Date]])</f>
        <v>2025</v>
      </c>
      <c r="U496">
        <f>SalesData[[#This Row],[Profit]]/SalesData[[#This Row],[Sales]]</f>
        <v>0.125</v>
      </c>
    </row>
    <row r="497" spans="1:21" x14ac:dyDescent="0.25">
      <c r="A497" t="s">
        <v>745</v>
      </c>
      <c r="B497" s="1">
        <v>45808</v>
      </c>
      <c r="C497" t="s">
        <v>495</v>
      </c>
      <c r="D497" t="s">
        <v>310</v>
      </c>
      <c r="E497" t="s">
        <v>70</v>
      </c>
      <c r="F497" t="s">
        <v>71</v>
      </c>
      <c r="G497" t="s">
        <v>22</v>
      </c>
      <c r="H497" t="s">
        <v>65</v>
      </c>
      <c r="I497" t="s">
        <v>80</v>
      </c>
      <c r="J497">
        <v>5</v>
      </c>
      <c r="K497">
        <v>1500</v>
      </c>
      <c r="L497">
        <v>20</v>
      </c>
      <c r="M497">
        <v>6000</v>
      </c>
      <c r="N497">
        <v>5250</v>
      </c>
      <c r="O497">
        <v>750</v>
      </c>
      <c r="P497" t="s">
        <v>40</v>
      </c>
      <c r="Q497" t="s">
        <v>33</v>
      </c>
      <c r="R497" t="str">
        <f>TEXT(SalesData[[#This Row],[Order Date]],"mmm")</f>
        <v>May</v>
      </c>
      <c r="S497" s="2" t="str">
        <f>"Q"&amp;ROUNDUP(MONTH(SalesData[[#This Row],[Order Date]])/3,0)</f>
        <v>Q2</v>
      </c>
      <c r="T497">
        <f>YEAR(SalesData[[#This Row],[Order Date]])</f>
        <v>2025</v>
      </c>
      <c r="U497">
        <f>SalesData[[#This Row],[Profit]]/SalesData[[#This Row],[Sales]]</f>
        <v>0.125</v>
      </c>
    </row>
    <row r="498" spans="1:21" x14ac:dyDescent="0.25">
      <c r="A498" t="s">
        <v>746</v>
      </c>
      <c r="B498" s="1">
        <v>45739</v>
      </c>
      <c r="C498" t="s">
        <v>229</v>
      </c>
      <c r="D498" t="s">
        <v>606</v>
      </c>
      <c r="E498" t="s">
        <v>62</v>
      </c>
      <c r="F498" t="s">
        <v>63</v>
      </c>
      <c r="G498" t="s">
        <v>64</v>
      </c>
      <c r="H498" t="s">
        <v>65</v>
      </c>
      <c r="I498" t="s">
        <v>39</v>
      </c>
      <c r="J498">
        <v>8</v>
      </c>
      <c r="K498">
        <v>8500</v>
      </c>
      <c r="L498">
        <v>10</v>
      </c>
      <c r="M498">
        <v>61200</v>
      </c>
      <c r="N498">
        <v>47600</v>
      </c>
      <c r="O498">
        <v>13600</v>
      </c>
      <c r="P498" t="s">
        <v>25</v>
      </c>
      <c r="Q498" t="s">
        <v>26</v>
      </c>
      <c r="R498" t="str">
        <f>TEXT(SalesData[[#This Row],[Order Date]],"mmm")</f>
        <v>Mar</v>
      </c>
      <c r="S498" s="2" t="str">
        <f>"Q"&amp;ROUNDUP(MONTH(SalesData[[#This Row],[Order Date]])/3,0)</f>
        <v>Q1</v>
      </c>
      <c r="T498">
        <f>YEAR(SalesData[[#This Row],[Order Date]])</f>
        <v>2025</v>
      </c>
      <c r="U498">
        <f>SalesData[[#This Row],[Profit]]/SalesData[[#This Row],[Sales]]</f>
        <v>0.22222222222222221</v>
      </c>
    </row>
    <row r="499" spans="1:21" x14ac:dyDescent="0.25">
      <c r="A499" t="s">
        <v>747</v>
      </c>
      <c r="B499" s="1">
        <v>45943</v>
      </c>
      <c r="C499" t="s">
        <v>144</v>
      </c>
      <c r="D499" t="s">
        <v>285</v>
      </c>
      <c r="E499" t="s">
        <v>50</v>
      </c>
      <c r="F499" t="s">
        <v>51</v>
      </c>
      <c r="G499" t="s">
        <v>52</v>
      </c>
      <c r="H499" t="s">
        <v>23</v>
      </c>
      <c r="I499" t="s">
        <v>39</v>
      </c>
      <c r="J499">
        <v>3</v>
      </c>
      <c r="K499">
        <v>3200</v>
      </c>
      <c r="L499">
        <v>15</v>
      </c>
      <c r="M499">
        <v>8160</v>
      </c>
      <c r="N499">
        <v>6720</v>
      </c>
      <c r="O499">
        <v>1440</v>
      </c>
      <c r="P499" t="s">
        <v>58</v>
      </c>
      <c r="Q499" t="s">
        <v>33</v>
      </c>
      <c r="R499" t="str">
        <f>TEXT(SalesData[[#This Row],[Order Date]],"mmm")</f>
        <v>Oct</v>
      </c>
      <c r="S499" s="2" t="str">
        <f>"Q"&amp;ROUNDUP(MONTH(SalesData[[#This Row],[Order Date]])/3,0)</f>
        <v>Q4</v>
      </c>
      <c r="T499">
        <f>YEAR(SalesData[[#This Row],[Order Date]])</f>
        <v>2025</v>
      </c>
      <c r="U499">
        <f>SalesData[[#This Row],[Profit]]/SalesData[[#This Row],[Sales]]</f>
        <v>0.17647058823529413</v>
      </c>
    </row>
    <row r="500" spans="1:21" x14ac:dyDescent="0.25">
      <c r="A500" t="s">
        <v>748</v>
      </c>
      <c r="B500" s="1">
        <v>45708</v>
      </c>
      <c r="C500" t="s">
        <v>96</v>
      </c>
      <c r="D500" t="s">
        <v>100</v>
      </c>
      <c r="E500" t="s">
        <v>30</v>
      </c>
      <c r="F500" t="s">
        <v>31</v>
      </c>
      <c r="G500" t="s">
        <v>22</v>
      </c>
      <c r="H500" t="s">
        <v>32</v>
      </c>
      <c r="I500" t="s">
        <v>53</v>
      </c>
      <c r="J500">
        <v>6</v>
      </c>
      <c r="K500">
        <v>800</v>
      </c>
      <c r="L500">
        <v>20</v>
      </c>
      <c r="M500">
        <v>3840</v>
      </c>
      <c r="N500">
        <v>3360</v>
      </c>
      <c r="O500">
        <v>480</v>
      </c>
      <c r="P500" t="s">
        <v>54</v>
      </c>
      <c r="Q500" t="s">
        <v>33</v>
      </c>
      <c r="R500" t="str">
        <f>TEXT(SalesData[[#This Row],[Order Date]],"mmm")</f>
        <v>Feb</v>
      </c>
      <c r="S500" s="2" t="str">
        <f>"Q"&amp;ROUNDUP(MONTH(SalesData[[#This Row],[Order Date]])/3,0)</f>
        <v>Q1</v>
      </c>
      <c r="T500">
        <f>YEAR(SalesData[[#This Row],[Order Date]])</f>
        <v>2025</v>
      </c>
      <c r="U500">
        <f>SalesData[[#This Row],[Profit]]/SalesData[[#This Row],[Sales]]</f>
        <v>0.125</v>
      </c>
    </row>
    <row r="501" spans="1:21" x14ac:dyDescent="0.25">
      <c r="A501" t="s">
        <v>749</v>
      </c>
      <c r="B501" s="1">
        <v>45878</v>
      </c>
      <c r="C501" t="s">
        <v>435</v>
      </c>
      <c r="D501" t="s">
        <v>224</v>
      </c>
      <c r="E501" t="s">
        <v>20</v>
      </c>
      <c r="F501" t="s">
        <v>21</v>
      </c>
      <c r="G501" t="s">
        <v>22</v>
      </c>
      <c r="H501" t="s">
        <v>23</v>
      </c>
      <c r="I501" t="s">
        <v>66</v>
      </c>
      <c r="J501">
        <v>1</v>
      </c>
      <c r="K501">
        <v>3500</v>
      </c>
      <c r="L501">
        <v>15</v>
      </c>
      <c r="M501">
        <v>2975</v>
      </c>
      <c r="N501">
        <v>2450</v>
      </c>
      <c r="O501">
        <v>525</v>
      </c>
      <c r="P501" t="s">
        <v>25</v>
      </c>
      <c r="Q501" t="s">
        <v>26</v>
      </c>
      <c r="R501" t="str">
        <f>TEXT(SalesData[[#This Row],[Order Date]],"mmm")</f>
        <v>Aug</v>
      </c>
      <c r="S501" s="2" t="str">
        <f>"Q"&amp;ROUNDUP(MONTH(SalesData[[#This Row],[Order Date]])/3,0)</f>
        <v>Q3</v>
      </c>
      <c r="T501">
        <f>YEAR(SalesData[[#This Row],[Order Date]])</f>
        <v>2025</v>
      </c>
      <c r="U501">
        <f>SalesData[[#This Row],[Profit]]/SalesData[[#This Row],[Sales]]</f>
        <v>0.17647058823529413</v>
      </c>
    </row>
    <row r="502" spans="1:21" x14ac:dyDescent="0.25">
      <c r="A502" t="s">
        <v>750</v>
      </c>
      <c r="B502" s="1">
        <v>45823</v>
      </c>
      <c r="C502" t="s">
        <v>127</v>
      </c>
      <c r="D502" t="s">
        <v>235</v>
      </c>
      <c r="E502" t="s">
        <v>20</v>
      </c>
      <c r="F502" t="s">
        <v>21</v>
      </c>
      <c r="G502" t="s">
        <v>22</v>
      </c>
      <c r="H502" t="s">
        <v>65</v>
      </c>
      <c r="I502" t="s">
        <v>53</v>
      </c>
      <c r="J502">
        <v>4</v>
      </c>
      <c r="K502">
        <v>3500</v>
      </c>
      <c r="L502">
        <v>20</v>
      </c>
      <c r="M502">
        <v>11200</v>
      </c>
      <c r="N502">
        <v>9800</v>
      </c>
      <c r="O502">
        <v>1400</v>
      </c>
      <c r="P502" t="s">
        <v>25</v>
      </c>
      <c r="Q502" t="s">
        <v>26</v>
      </c>
      <c r="R502" t="str">
        <f>TEXT(SalesData[[#This Row],[Order Date]],"mmm")</f>
        <v>Jun</v>
      </c>
      <c r="S502" s="2" t="str">
        <f>"Q"&amp;ROUNDUP(MONTH(SalesData[[#This Row],[Order Date]])/3,0)</f>
        <v>Q2</v>
      </c>
      <c r="T502">
        <f>YEAR(SalesData[[#This Row],[Order Date]])</f>
        <v>2025</v>
      </c>
      <c r="U502">
        <f>SalesData[[#This Row],[Profit]]/SalesData[[#This Row],[Sales]]</f>
        <v>0.125</v>
      </c>
    </row>
    <row r="503" spans="1:21" x14ac:dyDescent="0.25">
      <c r="A503" t="s">
        <v>751</v>
      </c>
      <c r="B503" s="1">
        <v>45912</v>
      </c>
      <c r="C503" t="s">
        <v>48</v>
      </c>
      <c r="D503" t="s">
        <v>534</v>
      </c>
      <c r="E503" t="s">
        <v>93</v>
      </c>
      <c r="F503" t="s">
        <v>94</v>
      </c>
      <c r="G503" t="s">
        <v>64</v>
      </c>
      <c r="H503" t="s">
        <v>65</v>
      </c>
      <c r="I503" t="s">
        <v>39</v>
      </c>
      <c r="J503">
        <v>8</v>
      </c>
      <c r="K503">
        <v>4500</v>
      </c>
      <c r="L503">
        <v>20</v>
      </c>
      <c r="M503">
        <v>28800</v>
      </c>
      <c r="N503">
        <v>25200</v>
      </c>
      <c r="O503">
        <v>3600</v>
      </c>
      <c r="P503" t="s">
        <v>25</v>
      </c>
      <c r="Q503" t="s">
        <v>33</v>
      </c>
      <c r="R503" t="str">
        <f>TEXT(SalesData[[#This Row],[Order Date]],"mmm")</f>
        <v>Sep</v>
      </c>
      <c r="S503" s="2" t="str">
        <f>"Q"&amp;ROUNDUP(MONTH(SalesData[[#This Row],[Order Date]])/3,0)</f>
        <v>Q3</v>
      </c>
      <c r="T503">
        <f>YEAR(SalesData[[#This Row],[Order Date]])</f>
        <v>2025</v>
      </c>
      <c r="U503">
        <f>SalesData[[#This Row],[Profit]]/SalesData[[#This Row],[Sales]]</f>
        <v>0.125</v>
      </c>
    </row>
    <row r="504" spans="1:21" x14ac:dyDescent="0.25">
      <c r="A504" t="s">
        <v>752</v>
      </c>
      <c r="B504" s="1">
        <v>45859</v>
      </c>
      <c r="C504" t="s">
        <v>495</v>
      </c>
      <c r="D504" t="s">
        <v>295</v>
      </c>
      <c r="E504" t="s">
        <v>37</v>
      </c>
      <c r="F504" t="s">
        <v>38</v>
      </c>
      <c r="G504" t="s">
        <v>22</v>
      </c>
      <c r="H504" t="s">
        <v>46</v>
      </c>
      <c r="I504" t="s">
        <v>39</v>
      </c>
      <c r="J504">
        <v>9</v>
      </c>
      <c r="K504">
        <v>55000</v>
      </c>
      <c r="L504">
        <v>20</v>
      </c>
      <c r="M504">
        <v>396000</v>
      </c>
      <c r="N504">
        <v>346500</v>
      </c>
      <c r="O504">
        <v>49500</v>
      </c>
      <c r="P504" t="s">
        <v>58</v>
      </c>
      <c r="Q504" t="s">
        <v>26</v>
      </c>
      <c r="R504" t="str">
        <f>TEXT(SalesData[[#This Row],[Order Date]],"mmm")</f>
        <v>Jul</v>
      </c>
      <c r="S504" s="2" t="str">
        <f>"Q"&amp;ROUNDUP(MONTH(SalesData[[#This Row],[Order Date]])/3,0)</f>
        <v>Q3</v>
      </c>
      <c r="T504">
        <f>YEAR(SalesData[[#This Row],[Order Date]])</f>
        <v>2025</v>
      </c>
      <c r="U504">
        <f>SalesData[[#This Row],[Profit]]/SalesData[[#This Row],[Sales]]</f>
        <v>0.125</v>
      </c>
    </row>
    <row r="505" spans="1:21" x14ac:dyDescent="0.25">
      <c r="A505" t="s">
        <v>753</v>
      </c>
      <c r="B505" s="1">
        <v>45835</v>
      </c>
      <c r="C505" t="s">
        <v>135</v>
      </c>
      <c r="D505" t="s">
        <v>166</v>
      </c>
      <c r="E505" t="s">
        <v>20</v>
      </c>
      <c r="F505" t="s">
        <v>21</v>
      </c>
      <c r="G505" t="s">
        <v>22</v>
      </c>
      <c r="H505" t="s">
        <v>23</v>
      </c>
      <c r="I505" t="s">
        <v>53</v>
      </c>
      <c r="J505">
        <v>2</v>
      </c>
      <c r="K505">
        <v>3500</v>
      </c>
      <c r="L505">
        <v>20</v>
      </c>
      <c r="M505">
        <v>5600</v>
      </c>
      <c r="N505">
        <v>4900</v>
      </c>
      <c r="O505">
        <v>700</v>
      </c>
      <c r="P505" t="s">
        <v>25</v>
      </c>
      <c r="Q505" t="s">
        <v>76</v>
      </c>
      <c r="R505" t="str">
        <f>TEXT(SalesData[[#This Row],[Order Date]],"mmm")</f>
        <v>Jun</v>
      </c>
      <c r="S505" s="2" t="str">
        <f>"Q"&amp;ROUNDUP(MONTH(SalesData[[#This Row],[Order Date]])/3,0)</f>
        <v>Q2</v>
      </c>
      <c r="T505">
        <f>YEAR(SalesData[[#This Row],[Order Date]])</f>
        <v>2025</v>
      </c>
      <c r="U505">
        <f>SalesData[[#This Row],[Profit]]/SalesData[[#This Row],[Sales]]</f>
        <v>0.125</v>
      </c>
    </row>
    <row r="506" spans="1:21" x14ac:dyDescent="0.25">
      <c r="A506" t="s">
        <v>754</v>
      </c>
      <c r="B506" s="1">
        <v>45976</v>
      </c>
      <c r="C506" t="s">
        <v>163</v>
      </c>
      <c r="D506" t="s">
        <v>174</v>
      </c>
      <c r="E506" t="s">
        <v>44</v>
      </c>
      <c r="F506" t="s">
        <v>45</v>
      </c>
      <c r="G506" t="s">
        <v>22</v>
      </c>
      <c r="H506" t="s">
        <v>32</v>
      </c>
      <c r="I506" t="s">
        <v>24</v>
      </c>
      <c r="J506">
        <v>1</v>
      </c>
      <c r="K506">
        <v>9500</v>
      </c>
      <c r="L506">
        <v>10</v>
      </c>
      <c r="M506">
        <v>8550</v>
      </c>
      <c r="N506">
        <v>6650</v>
      </c>
      <c r="O506">
        <v>1900</v>
      </c>
      <c r="P506" t="s">
        <v>54</v>
      </c>
      <c r="Q506" t="s">
        <v>26</v>
      </c>
      <c r="R506" t="str">
        <f>TEXT(SalesData[[#This Row],[Order Date]],"mmm")</f>
        <v>Nov</v>
      </c>
      <c r="S506" s="2" t="str">
        <f>"Q"&amp;ROUNDUP(MONTH(SalesData[[#This Row],[Order Date]])/3,0)</f>
        <v>Q4</v>
      </c>
      <c r="T506">
        <f>YEAR(SalesData[[#This Row],[Order Date]])</f>
        <v>2025</v>
      </c>
      <c r="U506">
        <f>SalesData[[#This Row],[Profit]]/SalesData[[#This Row],[Sales]]</f>
        <v>0.22222222222222221</v>
      </c>
    </row>
    <row r="507" spans="1:21" x14ac:dyDescent="0.25">
      <c r="A507" t="s">
        <v>755</v>
      </c>
      <c r="B507" s="1">
        <v>45719</v>
      </c>
      <c r="C507" t="s">
        <v>501</v>
      </c>
      <c r="D507" t="s">
        <v>136</v>
      </c>
      <c r="E507" t="s">
        <v>20</v>
      </c>
      <c r="F507" t="s">
        <v>21</v>
      </c>
      <c r="G507" t="s">
        <v>22</v>
      </c>
      <c r="H507" t="s">
        <v>65</v>
      </c>
      <c r="I507" t="s">
        <v>72</v>
      </c>
      <c r="J507">
        <v>8</v>
      </c>
      <c r="K507">
        <v>3500</v>
      </c>
      <c r="L507">
        <v>15</v>
      </c>
      <c r="M507">
        <v>23800</v>
      </c>
      <c r="N507">
        <v>19600</v>
      </c>
      <c r="O507">
        <v>4200</v>
      </c>
      <c r="P507" t="s">
        <v>25</v>
      </c>
      <c r="Q507" t="s">
        <v>76</v>
      </c>
      <c r="R507" t="str">
        <f>TEXT(SalesData[[#This Row],[Order Date]],"mmm")</f>
        <v>Mar</v>
      </c>
      <c r="S507" s="2" t="str">
        <f>"Q"&amp;ROUNDUP(MONTH(SalesData[[#This Row],[Order Date]])/3,0)</f>
        <v>Q1</v>
      </c>
      <c r="T507">
        <f>YEAR(SalesData[[#This Row],[Order Date]])</f>
        <v>2025</v>
      </c>
      <c r="U507">
        <f>SalesData[[#This Row],[Profit]]/SalesData[[#This Row],[Sales]]</f>
        <v>0.17647058823529413</v>
      </c>
    </row>
    <row r="508" spans="1:21" x14ac:dyDescent="0.25">
      <c r="A508" t="s">
        <v>756</v>
      </c>
      <c r="B508" s="1">
        <v>45834</v>
      </c>
      <c r="C508" t="s">
        <v>676</v>
      </c>
      <c r="D508" t="s">
        <v>555</v>
      </c>
      <c r="E508" t="s">
        <v>20</v>
      </c>
      <c r="F508" t="s">
        <v>21</v>
      </c>
      <c r="G508" t="s">
        <v>22</v>
      </c>
      <c r="H508" t="s">
        <v>23</v>
      </c>
      <c r="I508" t="s">
        <v>66</v>
      </c>
      <c r="J508">
        <v>6</v>
      </c>
      <c r="K508">
        <v>3500</v>
      </c>
      <c r="L508">
        <v>0</v>
      </c>
      <c r="M508">
        <v>21000</v>
      </c>
      <c r="N508">
        <v>14700</v>
      </c>
      <c r="O508">
        <v>6300.0000000000018</v>
      </c>
      <c r="P508" t="s">
        <v>25</v>
      </c>
      <c r="Q508" t="s">
        <v>33</v>
      </c>
      <c r="R508" t="str">
        <f>TEXT(SalesData[[#This Row],[Order Date]],"mmm")</f>
        <v>Jun</v>
      </c>
      <c r="S508" s="2" t="str">
        <f>"Q"&amp;ROUNDUP(MONTH(SalesData[[#This Row],[Order Date]])/3,0)</f>
        <v>Q2</v>
      </c>
      <c r="T508">
        <f>YEAR(SalesData[[#This Row],[Order Date]])</f>
        <v>2025</v>
      </c>
      <c r="U508">
        <f>SalesData[[#This Row],[Profit]]/SalesData[[#This Row],[Sales]]</f>
        <v>0.3000000000000001</v>
      </c>
    </row>
    <row r="509" spans="1:21" x14ac:dyDescent="0.25">
      <c r="A509" t="s">
        <v>757</v>
      </c>
      <c r="B509" s="1">
        <v>45907</v>
      </c>
      <c r="C509" t="s">
        <v>469</v>
      </c>
      <c r="D509" t="s">
        <v>196</v>
      </c>
      <c r="E509" t="s">
        <v>44</v>
      </c>
      <c r="F509" t="s">
        <v>45</v>
      </c>
      <c r="G509" t="s">
        <v>22</v>
      </c>
      <c r="H509" t="s">
        <v>23</v>
      </c>
      <c r="I509" t="s">
        <v>66</v>
      </c>
      <c r="J509">
        <v>9</v>
      </c>
      <c r="K509">
        <v>9500</v>
      </c>
      <c r="L509">
        <v>10</v>
      </c>
      <c r="M509">
        <v>76950</v>
      </c>
      <c r="N509">
        <v>59849.999999999993</v>
      </c>
      <c r="O509">
        <v>17100.000000000011</v>
      </c>
      <c r="P509" t="s">
        <v>40</v>
      </c>
      <c r="Q509" t="s">
        <v>26</v>
      </c>
      <c r="R509" t="str">
        <f>TEXT(SalesData[[#This Row],[Order Date]],"mmm")</f>
        <v>Sep</v>
      </c>
      <c r="S509" s="2" t="str">
        <f>"Q"&amp;ROUNDUP(MONTH(SalesData[[#This Row],[Order Date]])/3,0)</f>
        <v>Q3</v>
      </c>
      <c r="T509">
        <f>YEAR(SalesData[[#This Row],[Order Date]])</f>
        <v>2025</v>
      </c>
      <c r="U509">
        <f>SalesData[[#This Row],[Profit]]/SalesData[[#This Row],[Sales]]</f>
        <v>0.22222222222222238</v>
      </c>
    </row>
    <row r="510" spans="1:21" x14ac:dyDescent="0.25">
      <c r="A510" t="s">
        <v>758</v>
      </c>
      <c r="B510" s="1">
        <v>45865</v>
      </c>
      <c r="C510" t="s">
        <v>105</v>
      </c>
      <c r="D510" t="s">
        <v>142</v>
      </c>
      <c r="E510" t="s">
        <v>70</v>
      </c>
      <c r="F510" t="s">
        <v>71</v>
      </c>
      <c r="G510" t="s">
        <v>22</v>
      </c>
      <c r="H510" t="s">
        <v>65</v>
      </c>
      <c r="I510" t="s">
        <v>53</v>
      </c>
      <c r="J510">
        <v>2</v>
      </c>
      <c r="K510">
        <v>1500</v>
      </c>
      <c r="L510">
        <v>15</v>
      </c>
      <c r="M510">
        <v>2550</v>
      </c>
      <c r="N510">
        <v>2100</v>
      </c>
      <c r="O510">
        <v>450</v>
      </c>
      <c r="P510" t="s">
        <v>54</v>
      </c>
      <c r="Q510" t="s">
        <v>26</v>
      </c>
      <c r="R510" t="str">
        <f>TEXT(SalesData[[#This Row],[Order Date]],"mmm")</f>
        <v>Jul</v>
      </c>
      <c r="S510" s="2" t="str">
        <f>"Q"&amp;ROUNDUP(MONTH(SalesData[[#This Row],[Order Date]])/3,0)</f>
        <v>Q3</v>
      </c>
      <c r="T510">
        <f>YEAR(SalesData[[#This Row],[Order Date]])</f>
        <v>2025</v>
      </c>
      <c r="U510">
        <f>SalesData[[#This Row],[Profit]]/SalesData[[#This Row],[Sales]]</f>
        <v>0.17647058823529413</v>
      </c>
    </row>
    <row r="511" spans="1:21" x14ac:dyDescent="0.25">
      <c r="A511" t="s">
        <v>759</v>
      </c>
      <c r="B511" s="1">
        <v>45827</v>
      </c>
      <c r="C511" t="s">
        <v>539</v>
      </c>
      <c r="D511" t="s">
        <v>422</v>
      </c>
      <c r="E511" t="s">
        <v>37</v>
      </c>
      <c r="F511" t="s">
        <v>38</v>
      </c>
      <c r="G511" t="s">
        <v>22</v>
      </c>
      <c r="H511" t="s">
        <v>32</v>
      </c>
      <c r="I511" t="s">
        <v>39</v>
      </c>
      <c r="J511">
        <v>4</v>
      </c>
      <c r="K511">
        <v>55000</v>
      </c>
      <c r="L511">
        <v>15</v>
      </c>
      <c r="M511">
        <v>187000</v>
      </c>
      <c r="N511">
        <v>154000</v>
      </c>
      <c r="O511">
        <v>33000</v>
      </c>
      <c r="P511" t="s">
        <v>25</v>
      </c>
      <c r="Q511" t="s">
        <v>33</v>
      </c>
      <c r="R511" t="str">
        <f>TEXT(SalesData[[#This Row],[Order Date]],"mmm")</f>
        <v>Jun</v>
      </c>
      <c r="S511" s="2" t="str">
        <f>"Q"&amp;ROUNDUP(MONTH(SalesData[[#This Row],[Order Date]])/3,0)</f>
        <v>Q2</v>
      </c>
      <c r="T511">
        <f>YEAR(SalesData[[#This Row],[Order Date]])</f>
        <v>2025</v>
      </c>
      <c r="U511">
        <f>SalesData[[#This Row],[Profit]]/SalesData[[#This Row],[Sales]]</f>
        <v>0.17647058823529413</v>
      </c>
    </row>
    <row r="512" spans="1:21" x14ac:dyDescent="0.25">
      <c r="A512" t="s">
        <v>760</v>
      </c>
      <c r="B512" s="1">
        <v>45969</v>
      </c>
      <c r="C512" t="s">
        <v>367</v>
      </c>
      <c r="D512" t="s">
        <v>49</v>
      </c>
      <c r="E512" t="s">
        <v>62</v>
      </c>
      <c r="F512" t="s">
        <v>63</v>
      </c>
      <c r="G512" t="s">
        <v>64</v>
      </c>
      <c r="H512" t="s">
        <v>32</v>
      </c>
      <c r="I512" t="s">
        <v>80</v>
      </c>
      <c r="J512">
        <v>8</v>
      </c>
      <c r="K512">
        <v>8500</v>
      </c>
      <c r="L512">
        <v>0</v>
      </c>
      <c r="M512">
        <v>68000</v>
      </c>
      <c r="N512">
        <v>47600</v>
      </c>
      <c r="O512">
        <v>20400</v>
      </c>
      <c r="P512" t="s">
        <v>40</v>
      </c>
      <c r="Q512" t="s">
        <v>33</v>
      </c>
      <c r="R512" t="str">
        <f>TEXT(SalesData[[#This Row],[Order Date]],"mmm")</f>
        <v>Nov</v>
      </c>
      <c r="S512" s="2" t="str">
        <f>"Q"&amp;ROUNDUP(MONTH(SalesData[[#This Row],[Order Date]])/3,0)</f>
        <v>Q4</v>
      </c>
      <c r="T512">
        <f>YEAR(SalesData[[#This Row],[Order Date]])</f>
        <v>2025</v>
      </c>
      <c r="U512">
        <f>SalesData[[#This Row],[Profit]]/SalesData[[#This Row],[Sales]]</f>
        <v>0.3</v>
      </c>
    </row>
    <row r="513" spans="1:21" x14ac:dyDescent="0.25">
      <c r="A513" t="s">
        <v>761</v>
      </c>
      <c r="B513" s="1">
        <v>45948</v>
      </c>
      <c r="C513" t="s">
        <v>539</v>
      </c>
      <c r="D513" t="s">
        <v>253</v>
      </c>
      <c r="E513" t="s">
        <v>62</v>
      </c>
      <c r="F513" t="s">
        <v>63</v>
      </c>
      <c r="G513" t="s">
        <v>64</v>
      </c>
      <c r="H513" t="s">
        <v>32</v>
      </c>
      <c r="I513" t="s">
        <v>39</v>
      </c>
      <c r="J513">
        <v>3</v>
      </c>
      <c r="K513">
        <v>8500</v>
      </c>
      <c r="L513">
        <v>0</v>
      </c>
      <c r="M513">
        <v>25500</v>
      </c>
      <c r="N513">
        <v>17850</v>
      </c>
      <c r="O513">
        <v>7650</v>
      </c>
      <c r="P513" t="s">
        <v>54</v>
      </c>
      <c r="Q513" t="s">
        <v>76</v>
      </c>
      <c r="R513" t="str">
        <f>TEXT(SalesData[[#This Row],[Order Date]],"mmm")</f>
        <v>Oct</v>
      </c>
      <c r="S513" s="2" t="str">
        <f>"Q"&amp;ROUNDUP(MONTH(SalesData[[#This Row],[Order Date]])/3,0)</f>
        <v>Q4</v>
      </c>
      <c r="T513">
        <f>YEAR(SalesData[[#This Row],[Order Date]])</f>
        <v>2025</v>
      </c>
      <c r="U513">
        <f>SalesData[[#This Row],[Profit]]/SalesData[[#This Row],[Sales]]</f>
        <v>0.3</v>
      </c>
    </row>
    <row r="514" spans="1:21" x14ac:dyDescent="0.25">
      <c r="A514" t="s">
        <v>762</v>
      </c>
      <c r="B514" s="1">
        <v>45831</v>
      </c>
      <c r="C514" t="s">
        <v>163</v>
      </c>
      <c r="D514" t="s">
        <v>183</v>
      </c>
      <c r="E514" t="s">
        <v>30</v>
      </c>
      <c r="F514" t="s">
        <v>31</v>
      </c>
      <c r="G514" t="s">
        <v>22</v>
      </c>
      <c r="H514" t="s">
        <v>32</v>
      </c>
      <c r="I514" t="s">
        <v>72</v>
      </c>
      <c r="J514">
        <v>7</v>
      </c>
      <c r="K514">
        <v>800</v>
      </c>
      <c r="L514">
        <v>10</v>
      </c>
      <c r="M514">
        <v>5040</v>
      </c>
      <c r="N514">
        <v>3920</v>
      </c>
      <c r="O514">
        <v>1120</v>
      </c>
      <c r="P514" t="s">
        <v>40</v>
      </c>
      <c r="Q514" t="s">
        <v>26</v>
      </c>
      <c r="R514" t="str">
        <f>TEXT(SalesData[[#This Row],[Order Date]],"mmm")</f>
        <v>Jun</v>
      </c>
      <c r="S514" s="2" t="str">
        <f>"Q"&amp;ROUNDUP(MONTH(SalesData[[#This Row],[Order Date]])/3,0)</f>
        <v>Q2</v>
      </c>
      <c r="T514">
        <f>YEAR(SalesData[[#This Row],[Order Date]])</f>
        <v>2025</v>
      </c>
      <c r="U514">
        <f>SalesData[[#This Row],[Profit]]/SalesData[[#This Row],[Sales]]</f>
        <v>0.22222222222222221</v>
      </c>
    </row>
    <row r="515" spans="1:21" x14ac:dyDescent="0.25">
      <c r="A515" t="s">
        <v>763</v>
      </c>
      <c r="B515" s="1">
        <v>45720</v>
      </c>
      <c r="C515" t="s">
        <v>121</v>
      </c>
      <c r="D515" t="s">
        <v>110</v>
      </c>
      <c r="E515" t="s">
        <v>62</v>
      </c>
      <c r="F515" t="s">
        <v>63</v>
      </c>
      <c r="G515" t="s">
        <v>64</v>
      </c>
      <c r="H515" t="s">
        <v>65</v>
      </c>
      <c r="I515" t="s">
        <v>39</v>
      </c>
      <c r="J515">
        <v>9</v>
      </c>
      <c r="K515">
        <v>8500</v>
      </c>
      <c r="L515">
        <v>15</v>
      </c>
      <c r="M515">
        <v>65025</v>
      </c>
      <c r="N515">
        <v>53550</v>
      </c>
      <c r="O515">
        <v>11475</v>
      </c>
      <c r="P515" t="s">
        <v>54</v>
      </c>
      <c r="Q515" t="s">
        <v>76</v>
      </c>
      <c r="R515" t="str">
        <f>TEXT(SalesData[[#This Row],[Order Date]],"mmm")</f>
        <v>Mar</v>
      </c>
      <c r="S515" s="2" t="str">
        <f>"Q"&amp;ROUNDUP(MONTH(SalesData[[#This Row],[Order Date]])/3,0)</f>
        <v>Q1</v>
      </c>
      <c r="T515">
        <f>YEAR(SalesData[[#This Row],[Order Date]])</f>
        <v>2025</v>
      </c>
      <c r="U515">
        <f>SalesData[[#This Row],[Profit]]/SalesData[[#This Row],[Sales]]</f>
        <v>0.17647058823529413</v>
      </c>
    </row>
    <row r="516" spans="1:21" x14ac:dyDescent="0.25">
      <c r="A516" t="s">
        <v>764</v>
      </c>
      <c r="B516" s="1">
        <v>45990</v>
      </c>
      <c r="C516" t="s">
        <v>323</v>
      </c>
      <c r="D516" t="s">
        <v>305</v>
      </c>
      <c r="E516" t="s">
        <v>37</v>
      </c>
      <c r="F516" t="s">
        <v>38</v>
      </c>
      <c r="G516" t="s">
        <v>22</v>
      </c>
      <c r="H516" t="s">
        <v>65</v>
      </c>
      <c r="I516" t="s">
        <v>53</v>
      </c>
      <c r="J516">
        <v>5</v>
      </c>
      <c r="K516">
        <v>55000</v>
      </c>
      <c r="L516">
        <v>0</v>
      </c>
      <c r="M516">
        <v>275000</v>
      </c>
      <c r="N516">
        <v>192500</v>
      </c>
      <c r="O516">
        <v>82500</v>
      </c>
      <c r="P516" t="s">
        <v>58</v>
      </c>
      <c r="Q516" t="s">
        <v>33</v>
      </c>
      <c r="R516" t="str">
        <f>TEXT(SalesData[[#This Row],[Order Date]],"mmm")</f>
        <v>Nov</v>
      </c>
      <c r="S516" s="2" t="str">
        <f>"Q"&amp;ROUNDUP(MONTH(SalesData[[#This Row],[Order Date]])/3,0)</f>
        <v>Q4</v>
      </c>
      <c r="T516">
        <f>YEAR(SalesData[[#This Row],[Order Date]])</f>
        <v>2025</v>
      </c>
      <c r="U516">
        <f>SalesData[[#This Row],[Profit]]/SalesData[[#This Row],[Sales]]</f>
        <v>0.3</v>
      </c>
    </row>
    <row r="517" spans="1:21" x14ac:dyDescent="0.25">
      <c r="A517" t="s">
        <v>765</v>
      </c>
      <c r="B517" s="1">
        <v>45825</v>
      </c>
      <c r="C517" t="s">
        <v>18</v>
      </c>
      <c r="D517" t="s">
        <v>389</v>
      </c>
      <c r="E517" t="s">
        <v>93</v>
      </c>
      <c r="F517" t="s">
        <v>94</v>
      </c>
      <c r="G517" t="s">
        <v>64</v>
      </c>
      <c r="H517" t="s">
        <v>32</v>
      </c>
      <c r="I517" t="s">
        <v>53</v>
      </c>
      <c r="J517">
        <v>5</v>
      </c>
      <c r="K517">
        <v>4500</v>
      </c>
      <c r="L517">
        <v>15</v>
      </c>
      <c r="M517">
        <v>19125</v>
      </c>
      <c r="N517">
        <v>15750</v>
      </c>
      <c r="O517">
        <v>3375.0000000000018</v>
      </c>
      <c r="P517" t="s">
        <v>58</v>
      </c>
      <c r="Q517" t="s">
        <v>26</v>
      </c>
      <c r="R517" t="str">
        <f>TEXT(SalesData[[#This Row],[Order Date]],"mmm")</f>
        <v>Jun</v>
      </c>
      <c r="S517" s="2" t="str">
        <f>"Q"&amp;ROUNDUP(MONTH(SalesData[[#This Row],[Order Date]])/3,0)</f>
        <v>Q2</v>
      </c>
      <c r="T517">
        <f>YEAR(SalesData[[#This Row],[Order Date]])</f>
        <v>2025</v>
      </c>
      <c r="U517">
        <f>SalesData[[#This Row],[Profit]]/SalesData[[#This Row],[Sales]]</f>
        <v>0.17647058823529421</v>
      </c>
    </row>
    <row r="518" spans="1:21" x14ac:dyDescent="0.25">
      <c r="A518" t="s">
        <v>766</v>
      </c>
      <c r="B518" s="1">
        <v>45662</v>
      </c>
      <c r="C518" t="s">
        <v>99</v>
      </c>
      <c r="D518" t="s">
        <v>253</v>
      </c>
      <c r="E518" t="s">
        <v>50</v>
      </c>
      <c r="F518" t="s">
        <v>51</v>
      </c>
      <c r="G518" t="s">
        <v>52</v>
      </c>
      <c r="H518" t="s">
        <v>23</v>
      </c>
      <c r="I518" t="s">
        <v>39</v>
      </c>
      <c r="J518">
        <v>8</v>
      </c>
      <c r="K518">
        <v>3200</v>
      </c>
      <c r="L518">
        <v>20</v>
      </c>
      <c r="M518">
        <v>20480</v>
      </c>
      <c r="N518">
        <v>17920</v>
      </c>
      <c r="O518">
        <v>2560</v>
      </c>
      <c r="P518" t="s">
        <v>54</v>
      </c>
      <c r="Q518" t="s">
        <v>76</v>
      </c>
      <c r="R518" t="str">
        <f>TEXT(SalesData[[#This Row],[Order Date]],"mmm")</f>
        <v>Jan</v>
      </c>
      <c r="S518" s="2" t="str">
        <f>"Q"&amp;ROUNDUP(MONTH(SalesData[[#This Row],[Order Date]])/3,0)</f>
        <v>Q1</v>
      </c>
      <c r="T518">
        <f>YEAR(SalesData[[#This Row],[Order Date]])</f>
        <v>2025</v>
      </c>
      <c r="U518">
        <f>SalesData[[#This Row],[Profit]]/SalesData[[#This Row],[Sales]]</f>
        <v>0.125</v>
      </c>
    </row>
    <row r="519" spans="1:21" x14ac:dyDescent="0.25">
      <c r="A519" t="s">
        <v>767</v>
      </c>
      <c r="B519" s="1">
        <v>45700</v>
      </c>
      <c r="C519" t="s">
        <v>163</v>
      </c>
      <c r="D519" t="s">
        <v>199</v>
      </c>
      <c r="E519" t="s">
        <v>37</v>
      </c>
      <c r="F519" t="s">
        <v>38</v>
      </c>
      <c r="G519" t="s">
        <v>22</v>
      </c>
      <c r="H519" t="s">
        <v>46</v>
      </c>
      <c r="I519" t="s">
        <v>80</v>
      </c>
      <c r="J519">
        <v>8</v>
      </c>
      <c r="K519">
        <v>55000</v>
      </c>
      <c r="L519">
        <v>20</v>
      </c>
      <c r="M519">
        <v>352000</v>
      </c>
      <c r="N519">
        <v>308000</v>
      </c>
      <c r="O519">
        <v>44000</v>
      </c>
      <c r="P519" t="s">
        <v>54</v>
      </c>
      <c r="Q519" t="s">
        <v>26</v>
      </c>
      <c r="R519" t="str">
        <f>TEXT(SalesData[[#This Row],[Order Date]],"mmm")</f>
        <v>Feb</v>
      </c>
      <c r="S519" s="2" t="str">
        <f>"Q"&amp;ROUNDUP(MONTH(SalesData[[#This Row],[Order Date]])/3,0)</f>
        <v>Q1</v>
      </c>
      <c r="T519">
        <f>YEAR(SalesData[[#This Row],[Order Date]])</f>
        <v>2025</v>
      </c>
      <c r="U519">
        <f>SalesData[[#This Row],[Profit]]/SalesData[[#This Row],[Sales]]</f>
        <v>0.125</v>
      </c>
    </row>
    <row r="520" spans="1:21" x14ac:dyDescent="0.25">
      <c r="A520" t="s">
        <v>768</v>
      </c>
      <c r="B520" s="1">
        <v>45847</v>
      </c>
      <c r="C520" t="s">
        <v>60</v>
      </c>
      <c r="D520" t="s">
        <v>209</v>
      </c>
      <c r="E520" t="s">
        <v>70</v>
      </c>
      <c r="F520" t="s">
        <v>71</v>
      </c>
      <c r="G520" t="s">
        <v>22</v>
      </c>
      <c r="H520" t="s">
        <v>65</v>
      </c>
      <c r="I520" t="s">
        <v>72</v>
      </c>
      <c r="J520">
        <v>3</v>
      </c>
      <c r="K520">
        <v>1500</v>
      </c>
      <c r="L520">
        <v>10</v>
      </c>
      <c r="M520">
        <v>4050</v>
      </c>
      <c r="N520">
        <v>3150</v>
      </c>
      <c r="O520">
        <v>900</v>
      </c>
      <c r="P520" t="s">
        <v>40</v>
      </c>
      <c r="Q520" t="s">
        <v>33</v>
      </c>
      <c r="R520" t="str">
        <f>TEXT(SalesData[[#This Row],[Order Date]],"mmm")</f>
        <v>Jul</v>
      </c>
      <c r="S520" s="2" t="str">
        <f>"Q"&amp;ROUNDUP(MONTH(SalesData[[#This Row],[Order Date]])/3,0)</f>
        <v>Q3</v>
      </c>
      <c r="T520">
        <f>YEAR(SalesData[[#This Row],[Order Date]])</f>
        <v>2025</v>
      </c>
      <c r="U520">
        <f>SalesData[[#This Row],[Profit]]/SalesData[[#This Row],[Sales]]</f>
        <v>0.22222222222222221</v>
      </c>
    </row>
    <row r="521" spans="1:21" x14ac:dyDescent="0.25">
      <c r="A521" t="s">
        <v>769</v>
      </c>
      <c r="B521" s="1">
        <v>45741</v>
      </c>
      <c r="C521" t="s">
        <v>214</v>
      </c>
      <c r="D521" t="s">
        <v>161</v>
      </c>
      <c r="E521" t="s">
        <v>93</v>
      </c>
      <c r="F521" t="s">
        <v>94</v>
      </c>
      <c r="G521" t="s">
        <v>64</v>
      </c>
      <c r="H521" t="s">
        <v>46</v>
      </c>
      <c r="I521" t="s">
        <v>53</v>
      </c>
      <c r="J521">
        <v>7</v>
      </c>
      <c r="K521">
        <v>4500</v>
      </c>
      <c r="L521">
        <v>10</v>
      </c>
      <c r="M521">
        <v>28350</v>
      </c>
      <c r="N521">
        <v>22050</v>
      </c>
      <c r="O521">
        <v>6300</v>
      </c>
      <c r="P521" t="s">
        <v>40</v>
      </c>
      <c r="Q521" t="s">
        <v>76</v>
      </c>
      <c r="R521" t="str">
        <f>TEXT(SalesData[[#This Row],[Order Date]],"mmm")</f>
        <v>Mar</v>
      </c>
      <c r="S521" s="2" t="str">
        <f>"Q"&amp;ROUNDUP(MONTH(SalesData[[#This Row],[Order Date]])/3,0)</f>
        <v>Q1</v>
      </c>
      <c r="T521">
        <f>YEAR(SalesData[[#This Row],[Order Date]])</f>
        <v>2025</v>
      </c>
      <c r="U521">
        <f>SalesData[[#This Row],[Profit]]/SalesData[[#This Row],[Sales]]</f>
        <v>0.22222222222222221</v>
      </c>
    </row>
    <row r="522" spans="1:21" x14ac:dyDescent="0.25">
      <c r="A522" t="s">
        <v>770</v>
      </c>
      <c r="B522" s="1">
        <v>45938</v>
      </c>
      <c r="C522" t="s">
        <v>234</v>
      </c>
      <c r="D522" t="s">
        <v>340</v>
      </c>
      <c r="E522" t="s">
        <v>62</v>
      </c>
      <c r="F522" t="s">
        <v>63</v>
      </c>
      <c r="G522" t="s">
        <v>64</v>
      </c>
      <c r="H522" t="s">
        <v>46</v>
      </c>
      <c r="I522" t="s">
        <v>39</v>
      </c>
      <c r="J522">
        <v>2</v>
      </c>
      <c r="K522">
        <v>8500</v>
      </c>
      <c r="L522">
        <v>10</v>
      </c>
      <c r="M522">
        <v>15300</v>
      </c>
      <c r="N522">
        <v>11900</v>
      </c>
      <c r="O522">
        <v>3400</v>
      </c>
      <c r="P522" t="s">
        <v>54</v>
      </c>
      <c r="Q522" t="s">
        <v>76</v>
      </c>
      <c r="R522" t="str">
        <f>TEXT(SalesData[[#This Row],[Order Date]],"mmm")</f>
        <v>Oct</v>
      </c>
      <c r="S522" s="2" t="str">
        <f>"Q"&amp;ROUNDUP(MONTH(SalesData[[#This Row],[Order Date]])/3,0)</f>
        <v>Q4</v>
      </c>
      <c r="T522">
        <f>YEAR(SalesData[[#This Row],[Order Date]])</f>
        <v>2025</v>
      </c>
      <c r="U522">
        <f>SalesData[[#This Row],[Profit]]/SalesData[[#This Row],[Sales]]</f>
        <v>0.22222222222222221</v>
      </c>
    </row>
    <row r="523" spans="1:21" x14ac:dyDescent="0.25">
      <c r="A523" t="s">
        <v>771</v>
      </c>
      <c r="B523" s="1">
        <v>45794</v>
      </c>
      <c r="C523" t="s">
        <v>141</v>
      </c>
      <c r="D523" t="s">
        <v>389</v>
      </c>
      <c r="E523" t="s">
        <v>30</v>
      </c>
      <c r="F523" t="s">
        <v>31</v>
      </c>
      <c r="G523" t="s">
        <v>22</v>
      </c>
      <c r="H523" t="s">
        <v>32</v>
      </c>
      <c r="I523" t="s">
        <v>53</v>
      </c>
      <c r="J523">
        <v>2</v>
      </c>
      <c r="K523">
        <v>800</v>
      </c>
      <c r="L523">
        <v>20</v>
      </c>
      <c r="M523">
        <v>1280</v>
      </c>
      <c r="N523">
        <v>1120</v>
      </c>
      <c r="O523">
        <v>160</v>
      </c>
      <c r="P523" t="s">
        <v>58</v>
      </c>
      <c r="Q523" t="s">
        <v>33</v>
      </c>
      <c r="R523" t="str">
        <f>TEXT(SalesData[[#This Row],[Order Date]],"mmm")</f>
        <v>May</v>
      </c>
      <c r="S523" s="2" t="str">
        <f>"Q"&amp;ROUNDUP(MONTH(SalesData[[#This Row],[Order Date]])/3,0)</f>
        <v>Q2</v>
      </c>
      <c r="T523">
        <f>YEAR(SalesData[[#This Row],[Order Date]])</f>
        <v>2025</v>
      </c>
      <c r="U523">
        <f>SalesData[[#This Row],[Profit]]/SalesData[[#This Row],[Sales]]</f>
        <v>0.125</v>
      </c>
    </row>
    <row r="524" spans="1:21" x14ac:dyDescent="0.25">
      <c r="A524" t="s">
        <v>772</v>
      </c>
      <c r="B524" s="1">
        <v>45786</v>
      </c>
      <c r="C524" t="s">
        <v>123</v>
      </c>
      <c r="D524" t="s">
        <v>773</v>
      </c>
      <c r="E524" t="s">
        <v>50</v>
      </c>
      <c r="F524" t="s">
        <v>51</v>
      </c>
      <c r="G524" t="s">
        <v>52</v>
      </c>
      <c r="H524" t="s">
        <v>65</v>
      </c>
      <c r="I524" t="s">
        <v>53</v>
      </c>
      <c r="J524">
        <v>9</v>
      </c>
      <c r="K524">
        <v>3200</v>
      </c>
      <c r="L524">
        <v>15</v>
      </c>
      <c r="M524">
        <v>24480</v>
      </c>
      <c r="N524">
        <v>20160</v>
      </c>
      <c r="O524">
        <v>4320</v>
      </c>
      <c r="P524" t="s">
        <v>25</v>
      </c>
      <c r="Q524" t="s">
        <v>33</v>
      </c>
      <c r="R524" t="str">
        <f>TEXT(SalesData[[#This Row],[Order Date]],"mmm")</f>
        <v>May</v>
      </c>
      <c r="S524" s="2" t="str">
        <f>"Q"&amp;ROUNDUP(MONTH(SalesData[[#This Row],[Order Date]])/3,0)</f>
        <v>Q2</v>
      </c>
      <c r="T524">
        <f>YEAR(SalesData[[#This Row],[Order Date]])</f>
        <v>2025</v>
      </c>
      <c r="U524">
        <f>SalesData[[#This Row],[Profit]]/SalesData[[#This Row],[Sales]]</f>
        <v>0.17647058823529413</v>
      </c>
    </row>
    <row r="525" spans="1:21" x14ac:dyDescent="0.25">
      <c r="A525" t="s">
        <v>774</v>
      </c>
      <c r="B525" s="1">
        <v>45934</v>
      </c>
      <c r="C525" t="s">
        <v>125</v>
      </c>
      <c r="D525" t="s">
        <v>97</v>
      </c>
      <c r="E525" t="s">
        <v>70</v>
      </c>
      <c r="F525" t="s">
        <v>71</v>
      </c>
      <c r="G525" t="s">
        <v>22</v>
      </c>
      <c r="H525" t="s">
        <v>23</v>
      </c>
      <c r="I525" t="s">
        <v>80</v>
      </c>
      <c r="J525">
        <v>10</v>
      </c>
      <c r="K525">
        <v>1500</v>
      </c>
      <c r="L525">
        <v>5</v>
      </c>
      <c r="M525">
        <v>14250</v>
      </c>
      <c r="N525">
        <v>10500</v>
      </c>
      <c r="O525">
        <v>3750</v>
      </c>
      <c r="P525" t="s">
        <v>54</v>
      </c>
      <c r="Q525" t="s">
        <v>33</v>
      </c>
      <c r="R525" t="str">
        <f>TEXT(SalesData[[#This Row],[Order Date]],"mmm")</f>
        <v>Oct</v>
      </c>
      <c r="S525" s="2" t="str">
        <f>"Q"&amp;ROUNDUP(MONTH(SalesData[[#This Row],[Order Date]])/3,0)</f>
        <v>Q4</v>
      </c>
      <c r="T525">
        <f>YEAR(SalesData[[#This Row],[Order Date]])</f>
        <v>2025</v>
      </c>
      <c r="U525">
        <f>SalesData[[#This Row],[Profit]]/SalesData[[#This Row],[Sales]]</f>
        <v>0.26315789473684209</v>
      </c>
    </row>
    <row r="526" spans="1:21" x14ac:dyDescent="0.25">
      <c r="A526" t="s">
        <v>775</v>
      </c>
      <c r="B526" s="1">
        <v>45795</v>
      </c>
      <c r="C526" t="s">
        <v>442</v>
      </c>
      <c r="D526" t="s">
        <v>49</v>
      </c>
      <c r="E526" t="s">
        <v>62</v>
      </c>
      <c r="F526" t="s">
        <v>63</v>
      </c>
      <c r="G526" t="s">
        <v>64</v>
      </c>
      <c r="H526" t="s">
        <v>46</v>
      </c>
      <c r="I526" t="s">
        <v>24</v>
      </c>
      <c r="J526">
        <v>7</v>
      </c>
      <c r="K526">
        <v>8500</v>
      </c>
      <c r="L526">
        <v>5</v>
      </c>
      <c r="M526">
        <v>56525</v>
      </c>
      <c r="N526">
        <v>41650</v>
      </c>
      <c r="O526">
        <v>14875</v>
      </c>
      <c r="P526" t="s">
        <v>25</v>
      </c>
      <c r="Q526" t="s">
        <v>76</v>
      </c>
      <c r="R526" t="str">
        <f>TEXT(SalesData[[#This Row],[Order Date]],"mmm")</f>
        <v>May</v>
      </c>
      <c r="S526" s="2" t="str">
        <f>"Q"&amp;ROUNDUP(MONTH(SalesData[[#This Row],[Order Date]])/3,0)</f>
        <v>Q2</v>
      </c>
      <c r="T526">
        <f>YEAR(SalesData[[#This Row],[Order Date]])</f>
        <v>2025</v>
      </c>
      <c r="U526">
        <f>SalesData[[#This Row],[Profit]]/SalesData[[#This Row],[Sales]]</f>
        <v>0.26315789473684209</v>
      </c>
    </row>
    <row r="527" spans="1:21" x14ac:dyDescent="0.25">
      <c r="A527" t="s">
        <v>776</v>
      </c>
      <c r="B527" s="1">
        <v>45717</v>
      </c>
      <c r="C527" t="s">
        <v>195</v>
      </c>
      <c r="D527" t="s">
        <v>133</v>
      </c>
      <c r="E527" t="s">
        <v>30</v>
      </c>
      <c r="F527" t="s">
        <v>31</v>
      </c>
      <c r="G527" t="s">
        <v>22</v>
      </c>
      <c r="H527" t="s">
        <v>23</v>
      </c>
      <c r="I527" t="s">
        <v>66</v>
      </c>
      <c r="J527">
        <v>2</v>
      </c>
      <c r="K527">
        <v>800</v>
      </c>
      <c r="L527">
        <v>10</v>
      </c>
      <c r="M527">
        <v>1440</v>
      </c>
      <c r="N527">
        <v>1120</v>
      </c>
      <c r="O527">
        <v>320</v>
      </c>
      <c r="P527" t="s">
        <v>54</v>
      </c>
      <c r="Q527" t="s">
        <v>33</v>
      </c>
      <c r="R527" t="str">
        <f>TEXT(SalesData[[#This Row],[Order Date]],"mmm")</f>
        <v>Mar</v>
      </c>
      <c r="S527" s="2" t="str">
        <f>"Q"&amp;ROUNDUP(MONTH(SalesData[[#This Row],[Order Date]])/3,0)</f>
        <v>Q1</v>
      </c>
      <c r="T527">
        <f>YEAR(SalesData[[#This Row],[Order Date]])</f>
        <v>2025</v>
      </c>
      <c r="U527">
        <f>SalesData[[#This Row],[Profit]]/SalesData[[#This Row],[Sales]]</f>
        <v>0.22222222222222221</v>
      </c>
    </row>
    <row r="528" spans="1:21" x14ac:dyDescent="0.25">
      <c r="A528" t="s">
        <v>777</v>
      </c>
      <c r="B528" s="1">
        <v>45793</v>
      </c>
      <c r="C528" t="s">
        <v>676</v>
      </c>
      <c r="D528" t="s">
        <v>358</v>
      </c>
      <c r="E528" t="s">
        <v>62</v>
      </c>
      <c r="F528" t="s">
        <v>63</v>
      </c>
      <c r="G528" t="s">
        <v>64</v>
      </c>
      <c r="H528" t="s">
        <v>32</v>
      </c>
      <c r="I528" t="s">
        <v>66</v>
      </c>
      <c r="J528">
        <v>7</v>
      </c>
      <c r="K528">
        <v>8500</v>
      </c>
      <c r="L528">
        <v>5</v>
      </c>
      <c r="M528">
        <v>56525</v>
      </c>
      <c r="N528">
        <v>41650</v>
      </c>
      <c r="O528">
        <v>14875</v>
      </c>
      <c r="P528" t="s">
        <v>25</v>
      </c>
      <c r="Q528" t="s">
        <v>76</v>
      </c>
      <c r="R528" t="str">
        <f>TEXT(SalesData[[#This Row],[Order Date]],"mmm")</f>
        <v>May</v>
      </c>
      <c r="S528" s="2" t="str">
        <f>"Q"&amp;ROUNDUP(MONTH(SalesData[[#This Row],[Order Date]])/3,0)</f>
        <v>Q2</v>
      </c>
      <c r="T528">
        <f>YEAR(SalesData[[#This Row],[Order Date]])</f>
        <v>2025</v>
      </c>
      <c r="U528">
        <f>SalesData[[#This Row],[Profit]]/SalesData[[#This Row],[Sales]]</f>
        <v>0.26315789473684209</v>
      </c>
    </row>
    <row r="529" spans="1:21" x14ac:dyDescent="0.25">
      <c r="A529" t="s">
        <v>778</v>
      </c>
      <c r="B529" s="1">
        <v>45850</v>
      </c>
      <c r="C529" t="s">
        <v>345</v>
      </c>
      <c r="D529" t="s">
        <v>36</v>
      </c>
      <c r="E529" t="s">
        <v>62</v>
      </c>
      <c r="F529" t="s">
        <v>63</v>
      </c>
      <c r="G529" t="s">
        <v>64</v>
      </c>
      <c r="H529" t="s">
        <v>46</v>
      </c>
      <c r="I529" t="s">
        <v>66</v>
      </c>
      <c r="J529">
        <v>8</v>
      </c>
      <c r="K529">
        <v>8500</v>
      </c>
      <c r="L529">
        <v>5</v>
      </c>
      <c r="M529">
        <v>64600</v>
      </c>
      <c r="N529">
        <v>47600</v>
      </c>
      <c r="O529">
        <v>17000</v>
      </c>
      <c r="P529" t="s">
        <v>25</v>
      </c>
      <c r="Q529" t="s">
        <v>33</v>
      </c>
      <c r="R529" t="str">
        <f>TEXT(SalesData[[#This Row],[Order Date]],"mmm")</f>
        <v>Jul</v>
      </c>
      <c r="S529" s="2" t="str">
        <f>"Q"&amp;ROUNDUP(MONTH(SalesData[[#This Row],[Order Date]])/3,0)</f>
        <v>Q3</v>
      </c>
      <c r="T529">
        <f>YEAR(SalesData[[#This Row],[Order Date]])</f>
        <v>2025</v>
      </c>
      <c r="U529">
        <f>SalesData[[#This Row],[Profit]]/SalesData[[#This Row],[Sales]]</f>
        <v>0.26315789473684209</v>
      </c>
    </row>
    <row r="530" spans="1:21" x14ac:dyDescent="0.25">
      <c r="A530" t="s">
        <v>779</v>
      </c>
      <c r="B530" s="1">
        <v>45711</v>
      </c>
      <c r="C530" t="s">
        <v>268</v>
      </c>
      <c r="D530" t="s">
        <v>75</v>
      </c>
      <c r="E530" t="s">
        <v>70</v>
      </c>
      <c r="F530" t="s">
        <v>71</v>
      </c>
      <c r="G530" t="s">
        <v>22</v>
      </c>
      <c r="H530" t="s">
        <v>65</v>
      </c>
      <c r="I530" t="s">
        <v>66</v>
      </c>
      <c r="J530">
        <v>8</v>
      </c>
      <c r="K530">
        <v>1500</v>
      </c>
      <c r="L530">
        <v>15</v>
      </c>
      <c r="M530">
        <v>10200</v>
      </c>
      <c r="N530">
        <v>8400</v>
      </c>
      <c r="O530">
        <v>1800</v>
      </c>
      <c r="P530" t="s">
        <v>58</v>
      </c>
      <c r="Q530" t="s">
        <v>76</v>
      </c>
      <c r="R530" t="str">
        <f>TEXT(SalesData[[#This Row],[Order Date]],"mmm")</f>
        <v>Feb</v>
      </c>
      <c r="S530" s="2" t="str">
        <f>"Q"&amp;ROUNDUP(MONTH(SalesData[[#This Row],[Order Date]])/3,0)</f>
        <v>Q1</v>
      </c>
      <c r="T530">
        <f>YEAR(SalesData[[#This Row],[Order Date]])</f>
        <v>2025</v>
      </c>
      <c r="U530">
        <f>SalesData[[#This Row],[Profit]]/SalesData[[#This Row],[Sales]]</f>
        <v>0.17647058823529413</v>
      </c>
    </row>
    <row r="531" spans="1:21" x14ac:dyDescent="0.25">
      <c r="A531" t="s">
        <v>780</v>
      </c>
      <c r="B531" s="1">
        <v>45950</v>
      </c>
      <c r="C531" t="s">
        <v>78</v>
      </c>
      <c r="D531" t="s">
        <v>185</v>
      </c>
      <c r="E531" t="s">
        <v>44</v>
      </c>
      <c r="F531" t="s">
        <v>45</v>
      </c>
      <c r="G531" t="s">
        <v>22</v>
      </c>
      <c r="H531" t="s">
        <v>23</v>
      </c>
      <c r="I531" t="s">
        <v>53</v>
      </c>
      <c r="J531">
        <v>3</v>
      </c>
      <c r="K531">
        <v>9500</v>
      </c>
      <c r="L531">
        <v>10</v>
      </c>
      <c r="M531">
        <v>25650</v>
      </c>
      <c r="N531">
        <v>19950</v>
      </c>
      <c r="O531">
        <v>5700</v>
      </c>
      <c r="P531" t="s">
        <v>58</v>
      </c>
      <c r="Q531" t="s">
        <v>33</v>
      </c>
      <c r="R531" t="str">
        <f>TEXT(SalesData[[#This Row],[Order Date]],"mmm")</f>
        <v>Oct</v>
      </c>
      <c r="S531" s="2" t="str">
        <f>"Q"&amp;ROUNDUP(MONTH(SalesData[[#This Row],[Order Date]])/3,0)</f>
        <v>Q4</v>
      </c>
      <c r="T531">
        <f>YEAR(SalesData[[#This Row],[Order Date]])</f>
        <v>2025</v>
      </c>
      <c r="U531">
        <f>SalesData[[#This Row],[Profit]]/SalesData[[#This Row],[Sales]]</f>
        <v>0.22222222222222221</v>
      </c>
    </row>
    <row r="532" spans="1:21" x14ac:dyDescent="0.25">
      <c r="A532" t="s">
        <v>781</v>
      </c>
      <c r="B532" s="1">
        <v>45937</v>
      </c>
      <c r="C532" t="s">
        <v>82</v>
      </c>
      <c r="D532" t="s">
        <v>665</v>
      </c>
      <c r="E532" t="s">
        <v>37</v>
      </c>
      <c r="F532" t="s">
        <v>38</v>
      </c>
      <c r="G532" t="s">
        <v>22</v>
      </c>
      <c r="H532" t="s">
        <v>46</v>
      </c>
      <c r="I532" t="s">
        <v>39</v>
      </c>
      <c r="J532">
        <v>8</v>
      </c>
      <c r="K532">
        <v>55000</v>
      </c>
      <c r="L532">
        <v>10</v>
      </c>
      <c r="M532">
        <v>396000</v>
      </c>
      <c r="N532">
        <v>308000</v>
      </c>
      <c r="O532">
        <v>88000</v>
      </c>
      <c r="P532" t="s">
        <v>40</v>
      </c>
      <c r="Q532" t="s">
        <v>33</v>
      </c>
      <c r="R532" t="str">
        <f>TEXT(SalesData[[#This Row],[Order Date]],"mmm")</f>
        <v>Oct</v>
      </c>
      <c r="S532" s="2" t="str">
        <f>"Q"&amp;ROUNDUP(MONTH(SalesData[[#This Row],[Order Date]])/3,0)</f>
        <v>Q4</v>
      </c>
      <c r="T532">
        <f>YEAR(SalesData[[#This Row],[Order Date]])</f>
        <v>2025</v>
      </c>
      <c r="U532">
        <f>SalesData[[#This Row],[Profit]]/SalesData[[#This Row],[Sales]]</f>
        <v>0.22222222222222221</v>
      </c>
    </row>
    <row r="533" spans="1:21" x14ac:dyDescent="0.25">
      <c r="A533" t="s">
        <v>782</v>
      </c>
      <c r="B533" s="1">
        <v>45763</v>
      </c>
      <c r="C533" t="s">
        <v>78</v>
      </c>
      <c r="D533" t="s">
        <v>408</v>
      </c>
      <c r="E533" t="s">
        <v>62</v>
      </c>
      <c r="F533" t="s">
        <v>63</v>
      </c>
      <c r="G533" t="s">
        <v>64</v>
      </c>
      <c r="H533" t="s">
        <v>65</v>
      </c>
      <c r="I533" t="s">
        <v>66</v>
      </c>
      <c r="J533">
        <v>10</v>
      </c>
      <c r="K533">
        <v>8500</v>
      </c>
      <c r="L533">
        <v>20</v>
      </c>
      <c r="M533">
        <v>68000</v>
      </c>
      <c r="N533">
        <v>59499.999999999993</v>
      </c>
      <c r="O533">
        <v>8500.0000000000073</v>
      </c>
      <c r="P533" t="s">
        <v>40</v>
      </c>
      <c r="Q533" t="s">
        <v>33</v>
      </c>
      <c r="R533" t="str">
        <f>TEXT(SalesData[[#This Row],[Order Date]],"mmm")</f>
        <v>Apr</v>
      </c>
      <c r="S533" s="2" t="str">
        <f>"Q"&amp;ROUNDUP(MONTH(SalesData[[#This Row],[Order Date]])/3,0)</f>
        <v>Q2</v>
      </c>
      <c r="T533">
        <f>YEAR(SalesData[[#This Row],[Order Date]])</f>
        <v>2025</v>
      </c>
      <c r="U533">
        <f>SalesData[[#This Row],[Profit]]/SalesData[[#This Row],[Sales]]</f>
        <v>0.12500000000000011</v>
      </c>
    </row>
    <row r="534" spans="1:21" x14ac:dyDescent="0.25">
      <c r="A534" t="s">
        <v>783</v>
      </c>
      <c r="B534" s="1">
        <v>45999</v>
      </c>
      <c r="C534" t="s">
        <v>442</v>
      </c>
      <c r="D534" t="s">
        <v>116</v>
      </c>
      <c r="E534" t="s">
        <v>30</v>
      </c>
      <c r="F534" t="s">
        <v>31</v>
      </c>
      <c r="G534" t="s">
        <v>22</v>
      </c>
      <c r="H534" t="s">
        <v>32</v>
      </c>
      <c r="I534" t="s">
        <v>72</v>
      </c>
      <c r="J534">
        <v>2</v>
      </c>
      <c r="K534">
        <v>800</v>
      </c>
      <c r="L534">
        <v>0</v>
      </c>
      <c r="M534">
        <v>1600</v>
      </c>
      <c r="N534">
        <v>1120</v>
      </c>
      <c r="O534">
        <v>480</v>
      </c>
      <c r="P534" t="s">
        <v>40</v>
      </c>
      <c r="Q534" t="s">
        <v>33</v>
      </c>
      <c r="R534" t="str">
        <f>TEXT(SalesData[[#This Row],[Order Date]],"mmm")</f>
        <v>Dec</v>
      </c>
      <c r="S534" s="2" t="str">
        <f>"Q"&amp;ROUNDUP(MONTH(SalesData[[#This Row],[Order Date]])/3,0)</f>
        <v>Q4</v>
      </c>
      <c r="T534">
        <f>YEAR(SalesData[[#This Row],[Order Date]])</f>
        <v>2025</v>
      </c>
      <c r="U534">
        <f>SalesData[[#This Row],[Profit]]/SalesData[[#This Row],[Sales]]</f>
        <v>0.3</v>
      </c>
    </row>
    <row r="535" spans="1:21" x14ac:dyDescent="0.25">
      <c r="A535" t="s">
        <v>784</v>
      </c>
      <c r="B535" s="1">
        <v>45780</v>
      </c>
      <c r="C535" t="s">
        <v>676</v>
      </c>
      <c r="D535" t="s">
        <v>92</v>
      </c>
      <c r="E535" t="s">
        <v>20</v>
      </c>
      <c r="F535" t="s">
        <v>21</v>
      </c>
      <c r="G535" t="s">
        <v>22</v>
      </c>
      <c r="H535" t="s">
        <v>23</v>
      </c>
      <c r="I535" t="s">
        <v>66</v>
      </c>
      <c r="J535">
        <v>1</v>
      </c>
      <c r="K535">
        <v>3500</v>
      </c>
      <c r="L535">
        <v>15</v>
      </c>
      <c r="M535">
        <v>2975</v>
      </c>
      <c r="N535">
        <v>2450</v>
      </c>
      <c r="O535">
        <v>525</v>
      </c>
      <c r="P535" t="s">
        <v>40</v>
      </c>
      <c r="Q535" t="s">
        <v>76</v>
      </c>
      <c r="R535" t="str">
        <f>TEXT(SalesData[[#This Row],[Order Date]],"mmm")</f>
        <v>May</v>
      </c>
      <c r="S535" s="2" t="str">
        <f>"Q"&amp;ROUNDUP(MONTH(SalesData[[#This Row],[Order Date]])/3,0)</f>
        <v>Q2</v>
      </c>
      <c r="T535">
        <f>YEAR(SalesData[[#This Row],[Order Date]])</f>
        <v>2025</v>
      </c>
      <c r="U535">
        <f>SalesData[[#This Row],[Profit]]/SalesData[[#This Row],[Sales]]</f>
        <v>0.17647058823529413</v>
      </c>
    </row>
    <row r="536" spans="1:21" x14ac:dyDescent="0.25">
      <c r="A536" t="s">
        <v>785</v>
      </c>
      <c r="B536" s="1">
        <v>45953</v>
      </c>
      <c r="C536" t="s">
        <v>118</v>
      </c>
      <c r="D536" t="s">
        <v>142</v>
      </c>
      <c r="E536" t="s">
        <v>37</v>
      </c>
      <c r="F536" t="s">
        <v>38</v>
      </c>
      <c r="G536" t="s">
        <v>22</v>
      </c>
      <c r="H536" t="s">
        <v>46</v>
      </c>
      <c r="I536" t="s">
        <v>80</v>
      </c>
      <c r="J536">
        <v>10</v>
      </c>
      <c r="K536">
        <v>55000</v>
      </c>
      <c r="L536">
        <v>15</v>
      </c>
      <c r="M536">
        <v>467500</v>
      </c>
      <c r="N536">
        <v>385000</v>
      </c>
      <c r="O536">
        <v>82500</v>
      </c>
      <c r="P536" t="s">
        <v>54</v>
      </c>
      <c r="Q536" t="s">
        <v>76</v>
      </c>
      <c r="R536" t="str">
        <f>TEXT(SalesData[[#This Row],[Order Date]],"mmm")</f>
        <v>Oct</v>
      </c>
      <c r="S536" s="2" t="str">
        <f>"Q"&amp;ROUNDUP(MONTH(SalesData[[#This Row],[Order Date]])/3,0)</f>
        <v>Q4</v>
      </c>
      <c r="T536">
        <f>YEAR(SalesData[[#This Row],[Order Date]])</f>
        <v>2025</v>
      </c>
      <c r="U536">
        <f>SalesData[[#This Row],[Profit]]/SalesData[[#This Row],[Sales]]</f>
        <v>0.17647058823529413</v>
      </c>
    </row>
    <row r="537" spans="1:21" x14ac:dyDescent="0.25">
      <c r="A537" t="s">
        <v>786</v>
      </c>
      <c r="B537" s="1">
        <v>45905</v>
      </c>
      <c r="C537" t="s">
        <v>18</v>
      </c>
      <c r="D537" t="s">
        <v>113</v>
      </c>
      <c r="E537" t="s">
        <v>44</v>
      </c>
      <c r="F537" t="s">
        <v>45</v>
      </c>
      <c r="G537" t="s">
        <v>22</v>
      </c>
      <c r="H537" t="s">
        <v>23</v>
      </c>
      <c r="I537" t="s">
        <v>24</v>
      </c>
      <c r="J537">
        <v>10</v>
      </c>
      <c r="K537">
        <v>9500</v>
      </c>
      <c r="L537">
        <v>0</v>
      </c>
      <c r="M537">
        <v>95000</v>
      </c>
      <c r="N537">
        <v>66500</v>
      </c>
      <c r="O537">
        <v>28500</v>
      </c>
      <c r="P537" t="s">
        <v>54</v>
      </c>
      <c r="Q537" t="s">
        <v>26</v>
      </c>
      <c r="R537" t="str">
        <f>TEXT(SalesData[[#This Row],[Order Date]],"mmm")</f>
        <v>Sep</v>
      </c>
      <c r="S537" s="2" t="str">
        <f>"Q"&amp;ROUNDUP(MONTH(SalesData[[#This Row],[Order Date]])/3,0)</f>
        <v>Q3</v>
      </c>
      <c r="T537">
        <f>YEAR(SalesData[[#This Row],[Order Date]])</f>
        <v>2025</v>
      </c>
      <c r="U537">
        <f>SalesData[[#This Row],[Profit]]/SalesData[[#This Row],[Sales]]</f>
        <v>0.3</v>
      </c>
    </row>
    <row r="538" spans="1:21" x14ac:dyDescent="0.25">
      <c r="A538" t="s">
        <v>787</v>
      </c>
      <c r="B538" s="1">
        <v>45822</v>
      </c>
      <c r="C538" t="s">
        <v>203</v>
      </c>
      <c r="D538" t="s">
        <v>166</v>
      </c>
      <c r="E538" t="s">
        <v>70</v>
      </c>
      <c r="F538" t="s">
        <v>71</v>
      </c>
      <c r="G538" t="s">
        <v>22</v>
      </c>
      <c r="H538" t="s">
        <v>32</v>
      </c>
      <c r="I538" t="s">
        <v>39</v>
      </c>
      <c r="J538">
        <v>4</v>
      </c>
      <c r="K538">
        <v>1500</v>
      </c>
      <c r="L538">
        <v>5</v>
      </c>
      <c r="M538">
        <v>5700</v>
      </c>
      <c r="N538">
        <v>4200</v>
      </c>
      <c r="O538">
        <v>1500</v>
      </c>
      <c r="P538" t="s">
        <v>54</v>
      </c>
      <c r="Q538" t="s">
        <v>33</v>
      </c>
      <c r="R538" t="str">
        <f>TEXT(SalesData[[#This Row],[Order Date]],"mmm")</f>
        <v>Jun</v>
      </c>
      <c r="S538" s="2" t="str">
        <f>"Q"&amp;ROUNDUP(MONTH(SalesData[[#This Row],[Order Date]])/3,0)</f>
        <v>Q2</v>
      </c>
      <c r="T538">
        <f>YEAR(SalesData[[#This Row],[Order Date]])</f>
        <v>2025</v>
      </c>
      <c r="U538">
        <f>SalesData[[#This Row],[Profit]]/SalesData[[#This Row],[Sales]]</f>
        <v>0.26315789473684209</v>
      </c>
    </row>
    <row r="539" spans="1:21" x14ac:dyDescent="0.25">
      <c r="A539" t="s">
        <v>788</v>
      </c>
      <c r="B539" s="1">
        <v>45674</v>
      </c>
      <c r="C539" t="s">
        <v>495</v>
      </c>
      <c r="D539" t="s">
        <v>256</v>
      </c>
      <c r="E539" t="s">
        <v>37</v>
      </c>
      <c r="F539" t="s">
        <v>38</v>
      </c>
      <c r="G539" t="s">
        <v>22</v>
      </c>
      <c r="H539" t="s">
        <v>23</v>
      </c>
      <c r="I539" t="s">
        <v>39</v>
      </c>
      <c r="J539">
        <v>1</v>
      </c>
      <c r="K539">
        <v>55000</v>
      </c>
      <c r="L539">
        <v>15</v>
      </c>
      <c r="M539">
        <v>46750</v>
      </c>
      <c r="N539">
        <v>38500</v>
      </c>
      <c r="O539">
        <v>8250</v>
      </c>
      <c r="P539" t="s">
        <v>25</v>
      </c>
      <c r="Q539" t="s">
        <v>76</v>
      </c>
      <c r="R539" t="str">
        <f>TEXT(SalesData[[#This Row],[Order Date]],"mmm")</f>
        <v>Jan</v>
      </c>
      <c r="S539" s="2" t="str">
        <f>"Q"&amp;ROUNDUP(MONTH(SalesData[[#This Row],[Order Date]])/3,0)</f>
        <v>Q1</v>
      </c>
      <c r="T539">
        <f>YEAR(SalesData[[#This Row],[Order Date]])</f>
        <v>2025</v>
      </c>
      <c r="U539">
        <f>SalesData[[#This Row],[Profit]]/SalesData[[#This Row],[Sales]]</f>
        <v>0.17647058823529413</v>
      </c>
    </row>
    <row r="540" spans="1:21" x14ac:dyDescent="0.25">
      <c r="A540" t="s">
        <v>789</v>
      </c>
      <c r="B540" s="1">
        <v>45872</v>
      </c>
      <c r="C540" t="s">
        <v>112</v>
      </c>
      <c r="D540" t="s">
        <v>502</v>
      </c>
      <c r="E540" t="s">
        <v>50</v>
      </c>
      <c r="F540" t="s">
        <v>51</v>
      </c>
      <c r="G540" t="s">
        <v>52</v>
      </c>
      <c r="H540" t="s">
        <v>23</v>
      </c>
      <c r="I540" t="s">
        <v>24</v>
      </c>
      <c r="J540">
        <v>10</v>
      </c>
      <c r="K540">
        <v>3200</v>
      </c>
      <c r="L540">
        <v>15</v>
      </c>
      <c r="M540">
        <v>27200</v>
      </c>
      <c r="N540">
        <v>22400</v>
      </c>
      <c r="O540">
        <v>4800</v>
      </c>
      <c r="P540" t="s">
        <v>40</v>
      </c>
      <c r="Q540" t="s">
        <v>26</v>
      </c>
      <c r="R540" t="str">
        <f>TEXT(SalesData[[#This Row],[Order Date]],"mmm")</f>
        <v>Aug</v>
      </c>
      <c r="S540" s="2" t="str">
        <f>"Q"&amp;ROUNDUP(MONTH(SalesData[[#This Row],[Order Date]])/3,0)</f>
        <v>Q3</v>
      </c>
      <c r="T540">
        <f>YEAR(SalesData[[#This Row],[Order Date]])</f>
        <v>2025</v>
      </c>
      <c r="U540">
        <f>SalesData[[#This Row],[Profit]]/SalesData[[#This Row],[Sales]]</f>
        <v>0.17647058823529413</v>
      </c>
    </row>
    <row r="541" spans="1:21" x14ac:dyDescent="0.25">
      <c r="A541" t="s">
        <v>790</v>
      </c>
      <c r="B541" s="1">
        <v>45986</v>
      </c>
      <c r="C541" t="s">
        <v>155</v>
      </c>
      <c r="D541" t="s">
        <v>377</v>
      </c>
      <c r="E541" t="s">
        <v>30</v>
      </c>
      <c r="F541" t="s">
        <v>31</v>
      </c>
      <c r="G541" t="s">
        <v>22</v>
      </c>
      <c r="H541" t="s">
        <v>32</v>
      </c>
      <c r="I541" t="s">
        <v>80</v>
      </c>
      <c r="J541">
        <v>1</v>
      </c>
      <c r="K541">
        <v>800</v>
      </c>
      <c r="L541">
        <v>5</v>
      </c>
      <c r="M541">
        <v>760</v>
      </c>
      <c r="N541">
        <v>560</v>
      </c>
      <c r="O541">
        <v>200</v>
      </c>
      <c r="P541" t="s">
        <v>40</v>
      </c>
      <c r="Q541" t="s">
        <v>76</v>
      </c>
      <c r="R541" t="str">
        <f>TEXT(SalesData[[#This Row],[Order Date]],"mmm")</f>
        <v>Nov</v>
      </c>
      <c r="S541" s="2" t="str">
        <f>"Q"&amp;ROUNDUP(MONTH(SalesData[[#This Row],[Order Date]])/3,0)</f>
        <v>Q4</v>
      </c>
      <c r="T541">
        <f>YEAR(SalesData[[#This Row],[Order Date]])</f>
        <v>2025</v>
      </c>
      <c r="U541">
        <f>SalesData[[#This Row],[Profit]]/SalesData[[#This Row],[Sales]]</f>
        <v>0.26315789473684209</v>
      </c>
    </row>
    <row r="542" spans="1:21" x14ac:dyDescent="0.25">
      <c r="A542" t="s">
        <v>791</v>
      </c>
      <c r="B542" s="1">
        <v>45978</v>
      </c>
      <c r="C542" t="s">
        <v>268</v>
      </c>
      <c r="D542" t="s">
        <v>19</v>
      </c>
      <c r="E542" t="s">
        <v>93</v>
      </c>
      <c r="F542" t="s">
        <v>94</v>
      </c>
      <c r="G542" t="s">
        <v>64</v>
      </c>
      <c r="H542" t="s">
        <v>46</v>
      </c>
      <c r="I542" t="s">
        <v>66</v>
      </c>
      <c r="J542">
        <v>8</v>
      </c>
      <c r="K542">
        <v>4500</v>
      </c>
      <c r="L542">
        <v>15</v>
      </c>
      <c r="M542">
        <v>30600</v>
      </c>
      <c r="N542">
        <v>25200</v>
      </c>
      <c r="O542">
        <v>5400</v>
      </c>
      <c r="P542" t="s">
        <v>40</v>
      </c>
      <c r="Q542" t="s">
        <v>33</v>
      </c>
      <c r="R542" t="str">
        <f>TEXT(SalesData[[#This Row],[Order Date]],"mmm")</f>
        <v>Nov</v>
      </c>
      <c r="S542" s="2" t="str">
        <f>"Q"&amp;ROUNDUP(MONTH(SalesData[[#This Row],[Order Date]])/3,0)</f>
        <v>Q4</v>
      </c>
      <c r="T542">
        <f>YEAR(SalesData[[#This Row],[Order Date]])</f>
        <v>2025</v>
      </c>
      <c r="U542">
        <f>SalesData[[#This Row],[Profit]]/SalesData[[#This Row],[Sales]]</f>
        <v>0.17647058823529413</v>
      </c>
    </row>
    <row r="543" spans="1:21" x14ac:dyDescent="0.25">
      <c r="A543" t="s">
        <v>792</v>
      </c>
      <c r="B543" s="1">
        <v>45755</v>
      </c>
      <c r="C543" t="s">
        <v>150</v>
      </c>
      <c r="D543" t="s">
        <v>317</v>
      </c>
      <c r="E543" t="s">
        <v>50</v>
      </c>
      <c r="F543" t="s">
        <v>51</v>
      </c>
      <c r="G543" t="s">
        <v>52</v>
      </c>
      <c r="H543" t="s">
        <v>46</v>
      </c>
      <c r="I543" t="s">
        <v>80</v>
      </c>
      <c r="J543">
        <v>3</v>
      </c>
      <c r="K543">
        <v>3200</v>
      </c>
      <c r="L543">
        <v>5</v>
      </c>
      <c r="M543">
        <v>9120</v>
      </c>
      <c r="N543">
        <v>6720</v>
      </c>
      <c r="O543">
        <v>2400</v>
      </c>
      <c r="P543" t="s">
        <v>54</v>
      </c>
      <c r="Q543" t="s">
        <v>26</v>
      </c>
      <c r="R543" t="str">
        <f>TEXT(SalesData[[#This Row],[Order Date]],"mmm")</f>
        <v>Apr</v>
      </c>
      <c r="S543" s="2" t="str">
        <f>"Q"&amp;ROUNDUP(MONTH(SalesData[[#This Row],[Order Date]])/3,0)</f>
        <v>Q2</v>
      </c>
      <c r="T543">
        <f>YEAR(SalesData[[#This Row],[Order Date]])</f>
        <v>2025</v>
      </c>
      <c r="U543">
        <f>SalesData[[#This Row],[Profit]]/SalesData[[#This Row],[Sales]]</f>
        <v>0.26315789473684209</v>
      </c>
    </row>
    <row r="544" spans="1:21" x14ac:dyDescent="0.25">
      <c r="A544" t="s">
        <v>793</v>
      </c>
      <c r="B544" s="1">
        <v>45904</v>
      </c>
      <c r="C544" t="s">
        <v>334</v>
      </c>
      <c r="D544" t="s">
        <v>665</v>
      </c>
      <c r="E544" t="s">
        <v>93</v>
      </c>
      <c r="F544" t="s">
        <v>94</v>
      </c>
      <c r="G544" t="s">
        <v>64</v>
      </c>
      <c r="H544" t="s">
        <v>65</v>
      </c>
      <c r="I544" t="s">
        <v>80</v>
      </c>
      <c r="J544">
        <v>2</v>
      </c>
      <c r="K544">
        <v>4500</v>
      </c>
      <c r="L544">
        <v>15</v>
      </c>
      <c r="M544">
        <v>7650</v>
      </c>
      <c r="N544">
        <v>6300</v>
      </c>
      <c r="O544">
        <v>1350</v>
      </c>
      <c r="P544" t="s">
        <v>54</v>
      </c>
      <c r="Q544" t="s">
        <v>26</v>
      </c>
      <c r="R544" t="str">
        <f>TEXT(SalesData[[#This Row],[Order Date]],"mmm")</f>
        <v>Sep</v>
      </c>
      <c r="S544" s="2" t="str">
        <f>"Q"&amp;ROUNDUP(MONTH(SalesData[[#This Row],[Order Date]])/3,0)</f>
        <v>Q3</v>
      </c>
      <c r="T544">
        <f>YEAR(SalesData[[#This Row],[Order Date]])</f>
        <v>2025</v>
      </c>
      <c r="U544">
        <f>SalesData[[#This Row],[Profit]]/SalesData[[#This Row],[Sales]]</f>
        <v>0.17647058823529413</v>
      </c>
    </row>
    <row r="545" spans="1:21" x14ac:dyDescent="0.25">
      <c r="A545" t="s">
        <v>794</v>
      </c>
      <c r="B545" s="1">
        <v>45959</v>
      </c>
      <c r="C545" t="s">
        <v>676</v>
      </c>
      <c r="D545" t="s">
        <v>534</v>
      </c>
      <c r="E545" t="s">
        <v>44</v>
      </c>
      <c r="F545" t="s">
        <v>45</v>
      </c>
      <c r="G545" t="s">
        <v>22</v>
      </c>
      <c r="H545" t="s">
        <v>65</v>
      </c>
      <c r="I545" t="s">
        <v>53</v>
      </c>
      <c r="J545">
        <v>5</v>
      </c>
      <c r="K545">
        <v>9500</v>
      </c>
      <c r="L545">
        <v>15</v>
      </c>
      <c r="M545">
        <v>40375</v>
      </c>
      <c r="N545">
        <v>33250</v>
      </c>
      <c r="O545">
        <v>7125</v>
      </c>
      <c r="P545" t="s">
        <v>58</v>
      </c>
      <c r="Q545" t="s">
        <v>26</v>
      </c>
      <c r="R545" t="str">
        <f>TEXT(SalesData[[#This Row],[Order Date]],"mmm")</f>
        <v>Oct</v>
      </c>
      <c r="S545" s="2" t="str">
        <f>"Q"&amp;ROUNDUP(MONTH(SalesData[[#This Row],[Order Date]])/3,0)</f>
        <v>Q4</v>
      </c>
      <c r="T545">
        <f>YEAR(SalesData[[#This Row],[Order Date]])</f>
        <v>2025</v>
      </c>
      <c r="U545">
        <f>SalesData[[#This Row],[Profit]]/SalesData[[#This Row],[Sales]]</f>
        <v>0.17647058823529413</v>
      </c>
    </row>
    <row r="546" spans="1:21" x14ac:dyDescent="0.25">
      <c r="A546" t="s">
        <v>795</v>
      </c>
      <c r="B546" s="1">
        <v>45777</v>
      </c>
      <c r="C546" t="s">
        <v>476</v>
      </c>
      <c r="D546" t="s">
        <v>169</v>
      </c>
      <c r="E546" t="s">
        <v>62</v>
      </c>
      <c r="F546" t="s">
        <v>63</v>
      </c>
      <c r="G546" t="s">
        <v>64</v>
      </c>
      <c r="H546" t="s">
        <v>65</v>
      </c>
      <c r="I546" t="s">
        <v>39</v>
      </c>
      <c r="J546">
        <v>7</v>
      </c>
      <c r="K546">
        <v>8500</v>
      </c>
      <c r="L546">
        <v>0</v>
      </c>
      <c r="M546">
        <v>59500</v>
      </c>
      <c r="N546">
        <v>41650</v>
      </c>
      <c r="O546">
        <v>17850</v>
      </c>
      <c r="P546" t="s">
        <v>40</v>
      </c>
      <c r="Q546" t="s">
        <v>76</v>
      </c>
      <c r="R546" t="str">
        <f>TEXT(SalesData[[#This Row],[Order Date]],"mmm")</f>
        <v>Apr</v>
      </c>
      <c r="S546" s="2" t="str">
        <f>"Q"&amp;ROUNDUP(MONTH(SalesData[[#This Row],[Order Date]])/3,0)</f>
        <v>Q2</v>
      </c>
      <c r="T546">
        <f>YEAR(SalesData[[#This Row],[Order Date]])</f>
        <v>2025</v>
      </c>
      <c r="U546">
        <f>SalesData[[#This Row],[Profit]]/SalesData[[#This Row],[Sales]]</f>
        <v>0.3</v>
      </c>
    </row>
    <row r="547" spans="1:21" x14ac:dyDescent="0.25">
      <c r="A547" t="s">
        <v>796</v>
      </c>
      <c r="B547" s="1">
        <v>45833</v>
      </c>
      <c r="C547" t="s">
        <v>157</v>
      </c>
      <c r="D547" t="s">
        <v>275</v>
      </c>
      <c r="E547" t="s">
        <v>20</v>
      </c>
      <c r="F547" t="s">
        <v>21</v>
      </c>
      <c r="G547" t="s">
        <v>22</v>
      </c>
      <c r="H547" t="s">
        <v>65</v>
      </c>
      <c r="I547" t="s">
        <v>39</v>
      </c>
      <c r="J547">
        <v>1</v>
      </c>
      <c r="K547">
        <v>3500</v>
      </c>
      <c r="L547">
        <v>0</v>
      </c>
      <c r="M547">
        <v>3500</v>
      </c>
      <c r="N547">
        <v>2450</v>
      </c>
      <c r="O547">
        <v>1050</v>
      </c>
      <c r="P547" t="s">
        <v>25</v>
      </c>
      <c r="Q547" t="s">
        <v>33</v>
      </c>
      <c r="R547" t="str">
        <f>TEXT(SalesData[[#This Row],[Order Date]],"mmm")</f>
        <v>Jun</v>
      </c>
      <c r="S547" s="2" t="str">
        <f>"Q"&amp;ROUNDUP(MONTH(SalesData[[#This Row],[Order Date]])/3,0)</f>
        <v>Q2</v>
      </c>
      <c r="T547">
        <f>YEAR(SalesData[[#This Row],[Order Date]])</f>
        <v>2025</v>
      </c>
      <c r="U547">
        <f>SalesData[[#This Row],[Profit]]/SalesData[[#This Row],[Sales]]</f>
        <v>0.3</v>
      </c>
    </row>
    <row r="548" spans="1:21" x14ac:dyDescent="0.25">
      <c r="A548" t="s">
        <v>797</v>
      </c>
      <c r="B548" s="1">
        <v>46020</v>
      </c>
      <c r="C548" t="s">
        <v>265</v>
      </c>
      <c r="D548" t="s">
        <v>240</v>
      </c>
      <c r="E548" t="s">
        <v>37</v>
      </c>
      <c r="F548" t="s">
        <v>38</v>
      </c>
      <c r="G548" t="s">
        <v>22</v>
      </c>
      <c r="H548" t="s">
        <v>32</v>
      </c>
      <c r="I548" t="s">
        <v>53</v>
      </c>
      <c r="J548">
        <v>7</v>
      </c>
      <c r="K548">
        <v>55000</v>
      </c>
      <c r="L548">
        <v>5</v>
      </c>
      <c r="M548">
        <v>365750</v>
      </c>
      <c r="N548">
        <v>269500</v>
      </c>
      <c r="O548">
        <v>96250</v>
      </c>
      <c r="P548" t="s">
        <v>54</v>
      </c>
      <c r="Q548" t="s">
        <v>33</v>
      </c>
      <c r="R548" t="str">
        <f>TEXT(SalesData[[#This Row],[Order Date]],"mmm")</f>
        <v>Dec</v>
      </c>
      <c r="S548" s="2" t="str">
        <f>"Q"&amp;ROUNDUP(MONTH(SalesData[[#This Row],[Order Date]])/3,0)</f>
        <v>Q4</v>
      </c>
      <c r="T548">
        <f>YEAR(SalesData[[#This Row],[Order Date]])</f>
        <v>2025</v>
      </c>
      <c r="U548">
        <f>SalesData[[#This Row],[Profit]]/SalesData[[#This Row],[Sales]]</f>
        <v>0.26315789473684209</v>
      </c>
    </row>
    <row r="549" spans="1:21" x14ac:dyDescent="0.25">
      <c r="A549" t="s">
        <v>798</v>
      </c>
      <c r="B549" s="1">
        <v>46013</v>
      </c>
      <c r="C549" t="s">
        <v>125</v>
      </c>
      <c r="D549" t="s">
        <v>145</v>
      </c>
      <c r="E549" t="s">
        <v>37</v>
      </c>
      <c r="F549" t="s">
        <v>38</v>
      </c>
      <c r="G549" t="s">
        <v>22</v>
      </c>
      <c r="H549" t="s">
        <v>46</v>
      </c>
      <c r="I549" t="s">
        <v>72</v>
      </c>
      <c r="J549">
        <v>3</v>
      </c>
      <c r="K549">
        <v>55000</v>
      </c>
      <c r="L549">
        <v>10</v>
      </c>
      <c r="M549">
        <v>148500</v>
      </c>
      <c r="N549">
        <v>115500</v>
      </c>
      <c r="O549">
        <v>33000.000000000007</v>
      </c>
      <c r="P549" t="s">
        <v>58</v>
      </c>
      <c r="Q549" t="s">
        <v>76</v>
      </c>
      <c r="R549" t="str">
        <f>TEXT(SalesData[[#This Row],[Order Date]],"mmm")</f>
        <v>Dec</v>
      </c>
      <c r="S549" s="2" t="str">
        <f>"Q"&amp;ROUNDUP(MONTH(SalesData[[#This Row],[Order Date]])/3,0)</f>
        <v>Q4</v>
      </c>
      <c r="T549">
        <f>YEAR(SalesData[[#This Row],[Order Date]])</f>
        <v>2025</v>
      </c>
      <c r="U549">
        <f>SalesData[[#This Row],[Profit]]/SalesData[[#This Row],[Sales]]</f>
        <v>0.22222222222222227</v>
      </c>
    </row>
    <row r="550" spans="1:21" x14ac:dyDescent="0.25">
      <c r="A550" t="s">
        <v>799</v>
      </c>
      <c r="B550" s="1">
        <v>45671</v>
      </c>
      <c r="C550" t="s">
        <v>277</v>
      </c>
      <c r="D550" t="s">
        <v>408</v>
      </c>
      <c r="E550" t="s">
        <v>93</v>
      </c>
      <c r="F550" t="s">
        <v>94</v>
      </c>
      <c r="G550" t="s">
        <v>64</v>
      </c>
      <c r="H550" t="s">
        <v>46</v>
      </c>
      <c r="I550" t="s">
        <v>72</v>
      </c>
      <c r="J550">
        <v>3</v>
      </c>
      <c r="K550">
        <v>4500</v>
      </c>
      <c r="L550">
        <v>20</v>
      </c>
      <c r="M550">
        <v>10800</v>
      </c>
      <c r="N550">
        <v>9450</v>
      </c>
      <c r="O550">
        <v>1350</v>
      </c>
      <c r="P550" t="s">
        <v>58</v>
      </c>
      <c r="Q550" t="s">
        <v>76</v>
      </c>
      <c r="R550" t="str">
        <f>TEXT(SalesData[[#This Row],[Order Date]],"mmm")</f>
        <v>Jan</v>
      </c>
      <c r="S550" s="2" t="str">
        <f>"Q"&amp;ROUNDUP(MONTH(SalesData[[#This Row],[Order Date]])/3,0)</f>
        <v>Q1</v>
      </c>
      <c r="T550">
        <f>YEAR(SalesData[[#This Row],[Order Date]])</f>
        <v>2025</v>
      </c>
      <c r="U550">
        <f>SalesData[[#This Row],[Profit]]/SalesData[[#This Row],[Sales]]</f>
        <v>0.125</v>
      </c>
    </row>
    <row r="551" spans="1:21" x14ac:dyDescent="0.25">
      <c r="A551" t="s">
        <v>800</v>
      </c>
      <c r="B551" s="1">
        <v>45766</v>
      </c>
      <c r="C551" t="s">
        <v>105</v>
      </c>
      <c r="D551" t="s">
        <v>171</v>
      </c>
      <c r="E551" t="s">
        <v>44</v>
      </c>
      <c r="F551" t="s">
        <v>45</v>
      </c>
      <c r="G551" t="s">
        <v>22</v>
      </c>
      <c r="H551" t="s">
        <v>46</v>
      </c>
      <c r="I551" t="s">
        <v>39</v>
      </c>
      <c r="J551">
        <v>9</v>
      </c>
      <c r="K551">
        <v>9500</v>
      </c>
      <c r="L551">
        <v>5</v>
      </c>
      <c r="M551">
        <v>81225</v>
      </c>
      <c r="N551">
        <v>59849.999999999993</v>
      </c>
      <c r="O551">
        <v>21375.000000000011</v>
      </c>
      <c r="P551" t="s">
        <v>58</v>
      </c>
      <c r="Q551" t="s">
        <v>26</v>
      </c>
      <c r="R551" t="str">
        <f>TEXT(SalesData[[#This Row],[Order Date]],"mmm")</f>
        <v>Apr</v>
      </c>
      <c r="S551" s="2" t="str">
        <f>"Q"&amp;ROUNDUP(MONTH(SalesData[[#This Row],[Order Date]])/3,0)</f>
        <v>Q2</v>
      </c>
      <c r="T551">
        <f>YEAR(SalesData[[#This Row],[Order Date]])</f>
        <v>2025</v>
      </c>
      <c r="U551">
        <f>SalesData[[#This Row],[Profit]]/SalesData[[#This Row],[Sales]]</f>
        <v>0.26315789473684226</v>
      </c>
    </row>
    <row r="552" spans="1:21" x14ac:dyDescent="0.25">
      <c r="A552" t="s">
        <v>801</v>
      </c>
      <c r="B552" s="1">
        <v>45935</v>
      </c>
      <c r="C552" t="s">
        <v>367</v>
      </c>
      <c r="D552" t="s">
        <v>352</v>
      </c>
      <c r="E552" t="s">
        <v>70</v>
      </c>
      <c r="F552" t="s">
        <v>71</v>
      </c>
      <c r="G552" t="s">
        <v>22</v>
      </c>
      <c r="H552" t="s">
        <v>46</v>
      </c>
      <c r="I552" t="s">
        <v>39</v>
      </c>
      <c r="J552">
        <v>3</v>
      </c>
      <c r="K552">
        <v>1500</v>
      </c>
      <c r="L552">
        <v>0</v>
      </c>
      <c r="M552">
        <v>4500</v>
      </c>
      <c r="N552">
        <v>3150</v>
      </c>
      <c r="O552">
        <v>1350</v>
      </c>
      <c r="P552" t="s">
        <v>58</v>
      </c>
      <c r="Q552" t="s">
        <v>26</v>
      </c>
      <c r="R552" t="str">
        <f>TEXT(SalesData[[#This Row],[Order Date]],"mmm")</f>
        <v>Oct</v>
      </c>
      <c r="S552" s="2" t="str">
        <f>"Q"&amp;ROUNDUP(MONTH(SalesData[[#This Row],[Order Date]])/3,0)</f>
        <v>Q4</v>
      </c>
      <c r="T552">
        <f>YEAR(SalesData[[#This Row],[Order Date]])</f>
        <v>2025</v>
      </c>
      <c r="U552">
        <f>SalesData[[#This Row],[Profit]]/SalesData[[#This Row],[Sales]]</f>
        <v>0.3</v>
      </c>
    </row>
    <row r="553" spans="1:21" x14ac:dyDescent="0.25">
      <c r="A553" t="s">
        <v>802</v>
      </c>
      <c r="B553" s="1">
        <v>45746</v>
      </c>
      <c r="C553" t="s">
        <v>270</v>
      </c>
      <c r="D553" t="s">
        <v>342</v>
      </c>
      <c r="E553" t="s">
        <v>62</v>
      </c>
      <c r="F553" t="s">
        <v>63</v>
      </c>
      <c r="G553" t="s">
        <v>64</v>
      </c>
      <c r="H553" t="s">
        <v>65</v>
      </c>
      <c r="I553" t="s">
        <v>80</v>
      </c>
      <c r="J553">
        <v>9</v>
      </c>
      <c r="K553">
        <v>8500</v>
      </c>
      <c r="L553">
        <v>0</v>
      </c>
      <c r="M553">
        <v>76500</v>
      </c>
      <c r="N553">
        <v>53550</v>
      </c>
      <c r="O553">
        <v>22950</v>
      </c>
      <c r="P553" t="s">
        <v>40</v>
      </c>
      <c r="Q553" t="s">
        <v>33</v>
      </c>
      <c r="R553" t="str">
        <f>TEXT(SalesData[[#This Row],[Order Date]],"mmm")</f>
        <v>Mar</v>
      </c>
      <c r="S553" s="2" t="str">
        <f>"Q"&amp;ROUNDUP(MONTH(SalesData[[#This Row],[Order Date]])/3,0)</f>
        <v>Q1</v>
      </c>
      <c r="T553">
        <f>YEAR(SalesData[[#This Row],[Order Date]])</f>
        <v>2025</v>
      </c>
      <c r="U553">
        <f>SalesData[[#This Row],[Profit]]/SalesData[[#This Row],[Sales]]</f>
        <v>0.3</v>
      </c>
    </row>
    <row r="554" spans="1:21" x14ac:dyDescent="0.25">
      <c r="A554" t="s">
        <v>803</v>
      </c>
      <c r="B554" s="1">
        <v>45708</v>
      </c>
      <c r="C554" t="s">
        <v>442</v>
      </c>
      <c r="D554" t="s">
        <v>79</v>
      </c>
      <c r="E554" t="s">
        <v>70</v>
      </c>
      <c r="F554" t="s">
        <v>71</v>
      </c>
      <c r="G554" t="s">
        <v>22</v>
      </c>
      <c r="H554" t="s">
        <v>46</v>
      </c>
      <c r="I554" t="s">
        <v>66</v>
      </c>
      <c r="J554">
        <v>5</v>
      </c>
      <c r="K554">
        <v>1500</v>
      </c>
      <c r="L554">
        <v>0</v>
      </c>
      <c r="M554">
        <v>7500</v>
      </c>
      <c r="N554">
        <v>5250</v>
      </c>
      <c r="O554">
        <v>2250</v>
      </c>
      <c r="P554" t="s">
        <v>40</v>
      </c>
      <c r="Q554" t="s">
        <v>76</v>
      </c>
      <c r="R554" t="str">
        <f>TEXT(SalesData[[#This Row],[Order Date]],"mmm")</f>
        <v>Feb</v>
      </c>
      <c r="S554" s="2" t="str">
        <f>"Q"&amp;ROUNDUP(MONTH(SalesData[[#This Row],[Order Date]])/3,0)</f>
        <v>Q1</v>
      </c>
      <c r="T554">
        <f>YEAR(SalesData[[#This Row],[Order Date]])</f>
        <v>2025</v>
      </c>
      <c r="U554">
        <f>SalesData[[#This Row],[Profit]]/SalesData[[#This Row],[Sales]]</f>
        <v>0.3</v>
      </c>
    </row>
    <row r="555" spans="1:21" x14ac:dyDescent="0.25">
      <c r="A555" t="s">
        <v>804</v>
      </c>
      <c r="B555" s="1">
        <v>46008</v>
      </c>
      <c r="C555" t="s">
        <v>115</v>
      </c>
      <c r="D555" t="s">
        <v>317</v>
      </c>
      <c r="E555" t="s">
        <v>93</v>
      </c>
      <c r="F555" t="s">
        <v>94</v>
      </c>
      <c r="G555" t="s">
        <v>64</v>
      </c>
      <c r="H555" t="s">
        <v>32</v>
      </c>
      <c r="I555" t="s">
        <v>53</v>
      </c>
      <c r="J555">
        <v>10</v>
      </c>
      <c r="K555">
        <v>4500</v>
      </c>
      <c r="L555">
        <v>10</v>
      </c>
      <c r="M555">
        <v>40500</v>
      </c>
      <c r="N555">
        <v>31500</v>
      </c>
      <c r="O555">
        <v>9000.0000000000036</v>
      </c>
      <c r="P555" t="s">
        <v>40</v>
      </c>
      <c r="Q555" t="s">
        <v>33</v>
      </c>
      <c r="R555" t="str">
        <f>TEXT(SalesData[[#This Row],[Order Date]],"mmm")</f>
        <v>Dec</v>
      </c>
      <c r="S555" s="2" t="str">
        <f>"Q"&amp;ROUNDUP(MONTH(SalesData[[#This Row],[Order Date]])/3,0)</f>
        <v>Q4</v>
      </c>
      <c r="T555">
        <f>YEAR(SalesData[[#This Row],[Order Date]])</f>
        <v>2025</v>
      </c>
      <c r="U555">
        <f>SalesData[[#This Row],[Profit]]/SalesData[[#This Row],[Sales]]</f>
        <v>0.22222222222222232</v>
      </c>
    </row>
    <row r="556" spans="1:21" x14ac:dyDescent="0.25">
      <c r="A556" t="s">
        <v>805</v>
      </c>
      <c r="B556" s="1">
        <v>45680</v>
      </c>
      <c r="C556" t="s">
        <v>127</v>
      </c>
      <c r="D556" t="s">
        <v>130</v>
      </c>
      <c r="E556" t="s">
        <v>37</v>
      </c>
      <c r="F556" t="s">
        <v>38</v>
      </c>
      <c r="G556" t="s">
        <v>22</v>
      </c>
      <c r="H556" t="s">
        <v>23</v>
      </c>
      <c r="I556" t="s">
        <v>66</v>
      </c>
      <c r="J556">
        <v>2</v>
      </c>
      <c r="K556">
        <v>55000</v>
      </c>
      <c r="L556">
        <v>20</v>
      </c>
      <c r="M556">
        <v>88000</v>
      </c>
      <c r="N556">
        <v>77000</v>
      </c>
      <c r="O556">
        <v>11000</v>
      </c>
      <c r="P556" t="s">
        <v>40</v>
      </c>
      <c r="Q556" t="s">
        <v>26</v>
      </c>
      <c r="R556" t="str">
        <f>TEXT(SalesData[[#This Row],[Order Date]],"mmm")</f>
        <v>Jan</v>
      </c>
      <c r="S556" s="2" t="str">
        <f>"Q"&amp;ROUNDUP(MONTH(SalesData[[#This Row],[Order Date]])/3,0)</f>
        <v>Q1</v>
      </c>
      <c r="T556">
        <f>YEAR(SalesData[[#This Row],[Order Date]])</f>
        <v>2025</v>
      </c>
      <c r="U556">
        <f>SalesData[[#This Row],[Profit]]/SalesData[[#This Row],[Sales]]</f>
        <v>0.125</v>
      </c>
    </row>
    <row r="557" spans="1:21" x14ac:dyDescent="0.25">
      <c r="A557" t="s">
        <v>806</v>
      </c>
      <c r="B557" s="1">
        <v>45893</v>
      </c>
      <c r="C557" t="s">
        <v>367</v>
      </c>
      <c r="D557" t="s">
        <v>199</v>
      </c>
      <c r="E557" t="s">
        <v>37</v>
      </c>
      <c r="F557" t="s">
        <v>38</v>
      </c>
      <c r="G557" t="s">
        <v>22</v>
      </c>
      <c r="H557" t="s">
        <v>65</v>
      </c>
      <c r="I557" t="s">
        <v>24</v>
      </c>
      <c r="J557">
        <v>6</v>
      </c>
      <c r="K557">
        <v>55000</v>
      </c>
      <c r="L557">
        <v>0</v>
      </c>
      <c r="M557">
        <v>330000</v>
      </c>
      <c r="N557">
        <v>231000</v>
      </c>
      <c r="O557">
        <v>99000.000000000029</v>
      </c>
      <c r="P557" t="s">
        <v>25</v>
      </c>
      <c r="Q557" t="s">
        <v>33</v>
      </c>
      <c r="R557" t="str">
        <f>TEXT(SalesData[[#This Row],[Order Date]],"mmm")</f>
        <v>Aug</v>
      </c>
      <c r="S557" s="2" t="str">
        <f>"Q"&amp;ROUNDUP(MONTH(SalesData[[#This Row],[Order Date]])/3,0)</f>
        <v>Q3</v>
      </c>
      <c r="T557">
        <f>YEAR(SalesData[[#This Row],[Order Date]])</f>
        <v>2025</v>
      </c>
      <c r="U557">
        <f>SalesData[[#This Row],[Profit]]/SalesData[[#This Row],[Sales]]</f>
        <v>0.3000000000000001</v>
      </c>
    </row>
    <row r="558" spans="1:21" x14ac:dyDescent="0.25">
      <c r="A558" t="s">
        <v>807</v>
      </c>
      <c r="B558" s="1">
        <v>45692</v>
      </c>
      <c r="C558" t="s">
        <v>125</v>
      </c>
      <c r="D558" t="s">
        <v>86</v>
      </c>
      <c r="E558" t="s">
        <v>93</v>
      </c>
      <c r="F558" t="s">
        <v>94</v>
      </c>
      <c r="G558" t="s">
        <v>64</v>
      </c>
      <c r="H558" t="s">
        <v>32</v>
      </c>
      <c r="I558" t="s">
        <v>39</v>
      </c>
      <c r="J558">
        <v>6</v>
      </c>
      <c r="K558">
        <v>4500</v>
      </c>
      <c r="L558">
        <v>0</v>
      </c>
      <c r="M558">
        <v>27000</v>
      </c>
      <c r="N558">
        <v>18900</v>
      </c>
      <c r="O558">
        <v>8100</v>
      </c>
      <c r="P558" t="s">
        <v>58</v>
      </c>
      <c r="Q558" t="s">
        <v>76</v>
      </c>
      <c r="R558" t="str">
        <f>TEXT(SalesData[[#This Row],[Order Date]],"mmm")</f>
        <v>Feb</v>
      </c>
      <c r="S558" s="2" t="str">
        <f>"Q"&amp;ROUNDUP(MONTH(SalesData[[#This Row],[Order Date]])/3,0)</f>
        <v>Q1</v>
      </c>
      <c r="T558">
        <f>YEAR(SalesData[[#This Row],[Order Date]])</f>
        <v>2025</v>
      </c>
      <c r="U558">
        <f>SalesData[[#This Row],[Profit]]/SalesData[[#This Row],[Sales]]</f>
        <v>0.3</v>
      </c>
    </row>
    <row r="559" spans="1:21" x14ac:dyDescent="0.25">
      <c r="A559" t="s">
        <v>808</v>
      </c>
      <c r="B559" s="1">
        <v>45884</v>
      </c>
      <c r="C559" t="s">
        <v>332</v>
      </c>
      <c r="D559" t="s">
        <v>377</v>
      </c>
      <c r="E559" t="s">
        <v>70</v>
      </c>
      <c r="F559" t="s">
        <v>71</v>
      </c>
      <c r="G559" t="s">
        <v>22</v>
      </c>
      <c r="H559" t="s">
        <v>46</v>
      </c>
      <c r="I559" t="s">
        <v>80</v>
      </c>
      <c r="J559">
        <v>10</v>
      </c>
      <c r="K559">
        <v>1500</v>
      </c>
      <c r="L559">
        <v>0</v>
      </c>
      <c r="M559">
        <v>15000</v>
      </c>
      <c r="N559">
        <v>10500</v>
      </c>
      <c r="O559">
        <v>4500</v>
      </c>
      <c r="P559" t="s">
        <v>58</v>
      </c>
      <c r="Q559" t="s">
        <v>76</v>
      </c>
      <c r="R559" t="str">
        <f>TEXT(SalesData[[#This Row],[Order Date]],"mmm")</f>
        <v>Aug</v>
      </c>
      <c r="S559" s="2" t="str">
        <f>"Q"&amp;ROUNDUP(MONTH(SalesData[[#This Row],[Order Date]])/3,0)</f>
        <v>Q3</v>
      </c>
      <c r="T559">
        <f>YEAR(SalesData[[#This Row],[Order Date]])</f>
        <v>2025</v>
      </c>
      <c r="U559">
        <f>SalesData[[#This Row],[Profit]]/SalesData[[#This Row],[Sales]]</f>
        <v>0.3</v>
      </c>
    </row>
    <row r="560" spans="1:21" x14ac:dyDescent="0.25">
      <c r="A560" t="s">
        <v>809</v>
      </c>
      <c r="B560" s="1">
        <v>45892</v>
      </c>
      <c r="C560" t="s">
        <v>48</v>
      </c>
      <c r="D560" t="s">
        <v>278</v>
      </c>
      <c r="E560" t="s">
        <v>50</v>
      </c>
      <c r="F560" t="s">
        <v>51</v>
      </c>
      <c r="G560" t="s">
        <v>52</v>
      </c>
      <c r="H560" t="s">
        <v>32</v>
      </c>
      <c r="I560" t="s">
        <v>24</v>
      </c>
      <c r="J560">
        <v>6</v>
      </c>
      <c r="K560">
        <v>3200</v>
      </c>
      <c r="L560">
        <v>0</v>
      </c>
      <c r="M560">
        <v>19200</v>
      </c>
      <c r="N560">
        <v>13440</v>
      </c>
      <c r="O560">
        <v>5760</v>
      </c>
      <c r="P560" t="s">
        <v>58</v>
      </c>
      <c r="Q560" t="s">
        <v>26</v>
      </c>
      <c r="R560" t="str">
        <f>TEXT(SalesData[[#This Row],[Order Date]],"mmm")</f>
        <v>Aug</v>
      </c>
      <c r="S560" s="2" t="str">
        <f>"Q"&amp;ROUNDUP(MONTH(SalesData[[#This Row],[Order Date]])/3,0)</f>
        <v>Q3</v>
      </c>
      <c r="T560">
        <f>YEAR(SalesData[[#This Row],[Order Date]])</f>
        <v>2025</v>
      </c>
      <c r="U560">
        <f>SalesData[[#This Row],[Profit]]/SalesData[[#This Row],[Sales]]</f>
        <v>0.3</v>
      </c>
    </row>
    <row r="561" spans="1:21" x14ac:dyDescent="0.25">
      <c r="A561" t="s">
        <v>810</v>
      </c>
      <c r="B561" s="1">
        <v>45895</v>
      </c>
      <c r="C561" t="s">
        <v>212</v>
      </c>
      <c r="D561" t="s">
        <v>36</v>
      </c>
      <c r="E561" t="s">
        <v>37</v>
      </c>
      <c r="F561" t="s">
        <v>38</v>
      </c>
      <c r="G561" t="s">
        <v>22</v>
      </c>
      <c r="H561" t="s">
        <v>32</v>
      </c>
      <c r="I561" t="s">
        <v>39</v>
      </c>
      <c r="J561">
        <v>1</v>
      </c>
      <c r="K561">
        <v>55000</v>
      </c>
      <c r="L561">
        <v>0</v>
      </c>
      <c r="M561">
        <v>55000</v>
      </c>
      <c r="N561">
        <v>38500</v>
      </c>
      <c r="O561">
        <v>16500</v>
      </c>
      <c r="P561" t="s">
        <v>40</v>
      </c>
      <c r="Q561" t="s">
        <v>26</v>
      </c>
      <c r="R561" t="str">
        <f>TEXT(SalesData[[#This Row],[Order Date]],"mmm")</f>
        <v>Aug</v>
      </c>
      <c r="S561" s="2" t="str">
        <f>"Q"&amp;ROUNDUP(MONTH(SalesData[[#This Row],[Order Date]])/3,0)</f>
        <v>Q3</v>
      </c>
      <c r="T561">
        <f>YEAR(SalesData[[#This Row],[Order Date]])</f>
        <v>2025</v>
      </c>
      <c r="U561">
        <f>SalesData[[#This Row],[Profit]]/SalesData[[#This Row],[Sales]]</f>
        <v>0.3</v>
      </c>
    </row>
    <row r="562" spans="1:21" x14ac:dyDescent="0.25">
      <c r="A562" t="s">
        <v>811</v>
      </c>
      <c r="B562" s="1">
        <v>45772</v>
      </c>
      <c r="C562" t="s">
        <v>208</v>
      </c>
      <c r="D562" t="s">
        <v>394</v>
      </c>
      <c r="E562" t="s">
        <v>50</v>
      </c>
      <c r="F562" t="s">
        <v>51</v>
      </c>
      <c r="G562" t="s">
        <v>52</v>
      </c>
      <c r="H562" t="s">
        <v>46</v>
      </c>
      <c r="I562" t="s">
        <v>24</v>
      </c>
      <c r="J562">
        <v>10</v>
      </c>
      <c r="K562">
        <v>3200</v>
      </c>
      <c r="L562">
        <v>5</v>
      </c>
      <c r="M562">
        <v>30400</v>
      </c>
      <c r="N562">
        <v>22400</v>
      </c>
      <c r="O562">
        <v>8000</v>
      </c>
      <c r="P562" t="s">
        <v>54</v>
      </c>
      <c r="Q562" t="s">
        <v>33</v>
      </c>
      <c r="R562" t="str">
        <f>TEXT(SalesData[[#This Row],[Order Date]],"mmm")</f>
        <v>Apr</v>
      </c>
      <c r="S562" s="2" t="str">
        <f>"Q"&amp;ROUNDUP(MONTH(SalesData[[#This Row],[Order Date]])/3,0)</f>
        <v>Q2</v>
      </c>
      <c r="T562">
        <f>YEAR(SalesData[[#This Row],[Order Date]])</f>
        <v>2025</v>
      </c>
      <c r="U562">
        <f>SalesData[[#This Row],[Profit]]/SalesData[[#This Row],[Sales]]</f>
        <v>0.26315789473684209</v>
      </c>
    </row>
    <row r="563" spans="1:21" x14ac:dyDescent="0.25">
      <c r="A563" t="s">
        <v>812</v>
      </c>
      <c r="B563" s="1">
        <v>45735</v>
      </c>
      <c r="C563" t="s">
        <v>152</v>
      </c>
      <c r="D563" t="s">
        <v>352</v>
      </c>
      <c r="E563" t="s">
        <v>50</v>
      </c>
      <c r="F563" t="s">
        <v>51</v>
      </c>
      <c r="G563" t="s">
        <v>52</v>
      </c>
      <c r="H563" t="s">
        <v>23</v>
      </c>
      <c r="I563" t="s">
        <v>66</v>
      </c>
      <c r="J563">
        <v>6</v>
      </c>
      <c r="K563">
        <v>3200</v>
      </c>
      <c r="L563">
        <v>15</v>
      </c>
      <c r="M563">
        <v>16320</v>
      </c>
      <c r="N563">
        <v>13440</v>
      </c>
      <c r="O563">
        <v>2880</v>
      </c>
      <c r="P563" t="s">
        <v>54</v>
      </c>
      <c r="Q563" t="s">
        <v>26</v>
      </c>
      <c r="R563" t="str">
        <f>TEXT(SalesData[[#This Row],[Order Date]],"mmm")</f>
        <v>Mar</v>
      </c>
      <c r="S563" s="2" t="str">
        <f>"Q"&amp;ROUNDUP(MONTH(SalesData[[#This Row],[Order Date]])/3,0)</f>
        <v>Q1</v>
      </c>
      <c r="T563">
        <f>YEAR(SalesData[[#This Row],[Order Date]])</f>
        <v>2025</v>
      </c>
      <c r="U563">
        <f>SalesData[[#This Row],[Profit]]/SalesData[[#This Row],[Sales]]</f>
        <v>0.17647058823529413</v>
      </c>
    </row>
    <row r="564" spans="1:21" x14ac:dyDescent="0.25">
      <c r="A564" t="s">
        <v>813</v>
      </c>
      <c r="B564" s="1">
        <v>45904</v>
      </c>
      <c r="C564" t="s">
        <v>315</v>
      </c>
      <c r="D564" t="s">
        <v>133</v>
      </c>
      <c r="E564" t="s">
        <v>50</v>
      </c>
      <c r="F564" t="s">
        <v>51</v>
      </c>
      <c r="G564" t="s">
        <v>52</v>
      </c>
      <c r="H564" t="s">
        <v>46</v>
      </c>
      <c r="I564" t="s">
        <v>80</v>
      </c>
      <c r="J564">
        <v>6</v>
      </c>
      <c r="K564">
        <v>3200</v>
      </c>
      <c r="L564">
        <v>0</v>
      </c>
      <c r="M564">
        <v>19200</v>
      </c>
      <c r="N564">
        <v>13440</v>
      </c>
      <c r="O564">
        <v>5760</v>
      </c>
      <c r="P564" t="s">
        <v>25</v>
      </c>
      <c r="Q564" t="s">
        <v>76</v>
      </c>
      <c r="R564" t="str">
        <f>TEXT(SalesData[[#This Row],[Order Date]],"mmm")</f>
        <v>Sep</v>
      </c>
      <c r="S564" s="2" t="str">
        <f>"Q"&amp;ROUNDUP(MONTH(SalesData[[#This Row],[Order Date]])/3,0)</f>
        <v>Q3</v>
      </c>
      <c r="T564">
        <f>YEAR(SalesData[[#This Row],[Order Date]])</f>
        <v>2025</v>
      </c>
      <c r="U564">
        <f>SalesData[[#This Row],[Profit]]/SalesData[[#This Row],[Sales]]</f>
        <v>0.3</v>
      </c>
    </row>
    <row r="565" spans="1:21" x14ac:dyDescent="0.25">
      <c r="A565" t="s">
        <v>814</v>
      </c>
      <c r="B565" s="1">
        <v>45738</v>
      </c>
      <c r="C565" t="s">
        <v>125</v>
      </c>
      <c r="D565" t="s">
        <v>391</v>
      </c>
      <c r="E565" t="s">
        <v>44</v>
      </c>
      <c r="F565" t="s">
        <v>45</v>
      </c>
      <c r="G565" t="s">
        <v>22</v>
      </c>
      <c r="H565" t="s">
        <v>23</v>
      </c>
      <c r="I565" t="s">
        <v>72</v>
      </c>
      <c r="J565">
        <v>6</v>
      </c>
      <c r="K565">
        <v>9500</v>
      </c>
      <c r="L565">
        <v>5</v>
      </c>
      <c r="M565">
        <v>54150</v>
      </c>
      <c r="N565">
        <v>39900</v>
      </c>
      <c r="O565">
        <v>14250</v>
      </c>
      <c r="P565" t="s">
        <v>25</v>
      </c>
      <c r="Q565" t="s">
        <v>33</v>
      </c>
      <c r="R565" t="str">
        <f>TEXT(SalesData[[#This Row],[Order Date]],"mmm")</f>
        <v>Mar</v>
      </c>
      <c r="S565" s="2" t="str">
        <f>"Q"&amp;ROUNDUP(MONTH(SalesData[[#This Row],[Order Date]])/3,0)</f>
        <v>Q1</v>
      </c>
      <c r="T565">
        <f>YEAR(SalesData[[#This Row],[Order Date]])</f>
        <v>2025</v>
      </c>
      <c r="U565">
        <f>SalesData[[#This Row],[Profit]]/SalesData[[#This Row],[Sales]]</f>
        <v>0.26315789473684209</v>
      </c>
    </row>
    <row r="566" spans="1:21" x14ac:dyDescent="0.25">
      <c r="A566" t="s">
        <v>815</v>
      </c>
      <c r="B566" s="1">
        <v>45801</v>
      </c>
      <c r="C566" t="s">
        <v>221</v>
      </c>
      <c r="D566" t="s">
        <v>408</v>
      </c>
      <c r="E566" t="s">
        <v>30</v>
      </c>
      <c r="F566" t="s">
        <v>31</v>
      </c>
      <c r="G566" t="s">
        <v>22</v>
      </c>
      <c r="H566" t="s">
        <v>32</v>
      </c>
      <c r="I566" t="s">
        <v>72</v>
      </c>
      <c r="J566">
        <v>2</v>
      </c>
      <c r="K566">
        <v>800</v>
      </c>
      <c r="L566">
        <v>15</v>
      </c>
      <c r="M566">
        <v>1360</v>
      </c>
      <c r="N566">
        <v>1120</v>
      </c>
      <c r="O566">
        <v>240</v>
      </c>
      <c r="P566" t="s">
        <v>40</v>
      </c>
      <c r="Q566" t="s">
        <v>26</v>
      </c>
      <c r="R566" t="str">
        <f>TEXT(SalesData[[#This Row],[Order Date]],"mmm")</f>
        <v>May</v>
      </c>
      <c r="S566" s="2" t="str">
        <f>"Q"&amp;ROUNDUP(MONTH(SalesData[[#This Row],[Order Date]])/3,0)</f>
        <v>Q2</v>
      </c>
      <c r="T566">
        <f>YEAR(SalesData[[#This Row],[Order Date]])</f>
        <v>2025</v>
      </c>
      <c r="U566">
        <f>SalesData[[#This Row],[Profit]]/SalesData[[#This Row],[Sales]]</f>
        <v>0.17647058823529413</v>
      </c>
    </row>
    <row r="567" spans="1:21" x14ac:dyDescent="0.25">
      <c r="A567" t="s">
        <v>816</v>
      </c>
      <c r="B567" s="1">
        <v>45868</v>
      </c>
      <c r="C567" t="s">
        <v>466</v>
      </c>
      <c r="D567" t="s">
        <v>183</v>
      </c>
      <c r="E567" t="s">
        <v>62</v>
      </c>
      <c r="F567" t="s">
        <v>63</v>
      </c>
      <c r="G567" t="s">
        <v>64</v>
      </c>
      <c r="H567" t="s">
        <v>32</v>
      </c>
      <c r="I567" t="s">
        <v>72</v>
      </c>
      <c r="J567">
        <v>9</v>
      </c>
      <c r="K567">
        <v>8500</v>
      </c>
      <c r="L567">
        <v>20</v>
      </c>
      <c r="M567">
        <v>61200</v>
      </c>
      <c r="N567">
        <v>53550</v>
      </c>
      <c r="O567">
        <v>7650</v>
      </c>
      <c r="P567" t="s">
        <v>58</v>
      </c>
      <c r="Q567" t="s">
        <v>76</v>
      </c>
      <c r="R567" t="str">
        <f>TEXT(SalesData[[#This Row],[Order Date]],"mmm")</f>
        <v>Jul</v>
      </c>
      <c r="S567" s="2" t="str">
        <f>"Q"&amp;ROUNDUP(MONTH(SalesData[[#This Row],[Order Date]])/3,0)</f>
        <v>Q3</v>
      </c>
      <c r="T567">
        <f>YEAR(SalesData[[#This Row],[Order Date]])</f>
        <v>2025</v>
      </c>
      <c r="U567">
        <f>SalesData[[#This Row],[Profit]]/SalesData[[#This Row],[Sales]]</f>
        <v>0.125</v>
      </c>
    </row>
    <row r="568" spans="1:21" x14ac:dyDescent="0.25">
      <c r="A568" t="s">
        <v>817</v>
      </c>
      <c r="B568" s="1">
        <v>45976</v>
      </c>
      <c r="C568" t="s">
        <v>214</v>
      </c>
      <c r="D568" t="s">
        <v>499</v>
      </c>
      <c r="E568" t="s">
        <v>44</v>
      </c>
      <c r="F568" t="s">
        <v>45</v>
      </c>
      <c r="G568" t="s">
        <v>22</v>
      </c>
      <c r="H568" t="s">
        <v>32</v>
      </c>
      <c r="I568" t="s">
        <v>24</v>
      </c>
      <c r="J568">
        <v>7</v>
      </c>
      <c r="K568">
        <v>9500</v>
      </c>
      <c r="L568">
        <v>15</v>
      </c>
      <c r="M568">
        <v>56525</v>
      </c>
      <c r="N568">
        <v>46550</v>
      </c>
      <c r="O568">
        <v>9975</v>
      </c>
      <c r="P568" t="s">
        <v>54</v>
      </c>
      <c r="Q568" t="s">
        <v>26</v>
      </c>
      <c r="R568" t="str">
        <f>TEXT(SalesData[[#This Row],[Order Date]],"mmm")</f>
        <v>Nov</v>
      </c>
      <c r="S568" s="2" t="str">
        <f>"Q"&amp;ROUNDUP(MONTH(SalesData[[#This Row],[Order Date]])/3,0)</f>
        <v>Q4</v>
      </c>
      <c r="T568">
        <f>YEAR(SalesData[[#This Row],[Order Date]])</f>
        <v>2025</v>
      </c>
      <c r="U568">
        <f>SalesData[[#This Row],[Profit]]/SalesData[[#This Row],[Sales]]</f>
        <v>0.17647058823529413</v>
      </c>
    </row>
    <row r="569" spans="1:21" x14ac:dyDescent="0.25">
      <c r="A569" t="s">
        <v>818</v>
      </c>
      <c r="B569" s="1">
        <v>45905</v>
      </c>
      <c r="C569" t="s">
        <v>226</v>
      </c>
      <c r="D569" t="s">
        <v>169</v>
      </c>
      <c r="E569" t="s">
        <v>44</v>
      </c>
      <c r="F569" t="s">
        <v>45</v>
      </c>
      <c r="G569" t="s">
        <v>22</v>
      </c>
      <c r="H569" t="s">
        <v>65</v>
      </c>
      <c r="I569" t="s">
        <v>66</v>
      </c>
      <c r="J569">
        <v>10</v>
      </c>
      <c r="K569">
        <v>9500</v>
      </c>
      <c r="L569">
        <v>20</v>
      </c>
      <c r="M569">
        <v>76000</v>
      </c>
      <c r="N569">
        <v>66500</v>
      </c>
      <c r="O569">
        <v>9500</v>
      </c>
      <c r="P569" t="s">
        <v>25</v>
      </c>
      <c r="Q569" t="s">
        <v>26</v>
      </c>
      <c r="R569" t="str">
        <f>TEXT(SalesData[[#This Row],[Order Date]],"mmm")</f>
        <v>Sep</v>
      </c>
      <c r="S569" s="2" t="str">
        <f>"Q"&amp;ROUNDUP(MONTH(SalesData[[#This Row],[Order Date]])/3,0)</f>
        <v>Q3</v>
      </c>
      <c r="T569">
        <f>YEAR(SalesData[[#This Row],[Order Date]])</f>
        <v>2025</v>
      </c>
      <c r="U569">
        <f>SalesData[[#This Row],[Profit]]/SalesData[[#This Row],[Sales]]</f>
        <v>0.125</v>
      </c>
    </row>
    <row r="570" spans="1:21" x14ac:dyDescent="0.25">
      <c r="A570" t="s">
        <v>819</v>
      </c>
      <c r="B570" s="1">
        <v>45709</v>
      </c>
      <c r="C570" t="s">
        <v>623</v>
      </c>
      <c r="D570" t="s">
        <v>174</v>
      </c>
      <c r="E570" t="s">
        <v>62</v>
      </c>
      <c r="F570" t="s">
        <v>63</v>
      </c>
      <c r="G570" t="s">
        <v>64</v>
      </c>
      <c r="H570" t="s">
        <v>65</v>
      </c>
      <c r="I570" t="s">
        <v>24</v>
      </c>
      <c r="J570">
        <v>9</v>
      </c>
      <c r="K570">
        <v>8500</v>
      </c>
      <c r="L570">
        <v>0</v>
      </c>
      <c r="M570">
        <v>76500</v>
      </c>
      <c r="N570">
        <v>53550</v>
      </c>
      <c r="O570">
        <v>22950</v>
      </c>
      <c r="P570" t="s">
        <v>25</v>
      </c>
      <c r="Q570" t="s">
        <v>76</v>
      </c>
      <c r="R570" t="str">
        <f>TEXT(SalesData[[#This Row],[Order Date]],"mmm")</f>
        <v>Feb</v>
      </c>
      <c r="S570" s="2" t="str">
        <f>"Q"&amp;ROUNDUP(MONTH(SalesData[[#This Row],[Order Date]])/3,0)</f>
        <v>Q1</v>
      </c>
      <c r="T570">
        <f>YEAR(SalesData[[#This Row],[Order Date]])</f>
        <v>2025</v>
      </c>
      <c r="U570">
        <f>SalesData[[#This Row],[Profit]]/SalesData[[#This Row],[Sales]]</f>
        <v>0.3</v>
      </c>
    </row>
    <row r="571" spans="1:21" x14ac:dyDescent="0.25">
      <c r="A571" t="s">
        <v>820</v>
      </c>
      <c r="B571" s="1">
        <v>45750</v>
      </c>
      <c r="C571" t="s">
        <v>442</v>
      </c>
      <c r="D571" t="s">
        <v>247</v>
      </c>
      <c r="E571" t="s">
        <v>44</v>
      </c>
      <c r="F571" t="s">
        <v>45</v>
      </c>
      <c r="G571" t="s">
        <v>22</v>
      </c>
      <c r="H571" t="s">
        <v>23</v>
      </c>
      <c r="I571" t="s">
        <v>66</v>
      </c>
      <c r="J571">
        <v>3</v>
      </c>
      <c r="K571">
        <v>9500</v>
      </c>
      <c r="L571">
        <v>10</v>
      </c>
      <c r="M571">
        <v>25650</v>
      </c>
      <c r="N571">
        <v>19950</v>
      </c>
      <c r="O571">
        <v>5700</v>
      </c>
      <c r="P571" t="s">
        <v>58</v>
      </c>
      <c r="Q571" t="s">
        <v>26</v>
      </c>
      <c r="R571" t="str">
        <f>TEXT(SalesData[[#This Row],[Order Date]],"mmm")</f>
        <v>Apr</v>
      </c>
      <c r="S571" s="2" t="str">
        <f>"Q"&amp;ROUNDUP(MONTH(SalesData[[#This Row],[Order Date]])/3,0)</f>
        <v>Q2</v>
      </c>
      <c r="T571">
        <f>YEAR(SalesData[[#This Row],[Order Date]])</f>
        <v>2025</v>
      </c>
      <c r="U571">
        <f>SalesData[[#This Row],[Profit]]/SalesData[[#This Row],[Sales]]</f>
        <v>0.22222222222222221</v>
      </c>
    </row>
    <row r="572" spans="1:21" x14ac:dyDescent="0.25">
      <c r="A572" t="s">
        <v>821</v>
      </c>
      <c r="B572" s="1">
        <v>45747</v>
      </c>
      <c r="C572" t="s">
        <v>150</v>
      </c>
      <c r="D572" t="s">
        <v>69</v>
      </c>
      <c r="E572" t="s">
        <v>44</v>
      </c>
      <c r="F572" t="s">
        <v>45</v>
      </c>
      <c r="G572" t="s">
        <v>22</v>
      </c>
      <c r="H572" t="s">
        <v>65</v>
      </c>
      <c r="I572" t="s">
        <v>66</v>
      </c>
      <c r="J572">
        <v>7</v>
      </c>
      <c r="K572">
        <v>9500</v>
      </c>
      <c r="L572">
        <v>0</v>
      </c>
      <c r="M572">
        <v>66500</v>
      </c>
      <c r="N572">
        <v>46550</v>
      </c>
      <c r="O572">
        <v>19950</v>
      </c>
      <c r="P572" t="s">
        <v>25</v>
      </c>
      <c r="Q572" t="s">
        <v>33</v>
      </c>
      <c r="R572" t="str">
        <f>TEXT(SalesData[[#This Row],[Order Date]],"mmm")</f>
        <v>Mar</v>
      </c>
      <c r="S572" s="2" t="str">
        <f>"Q"&amp;ROUNDUP(MONTH(SalesData[[#This Row],[Order Date]])/3,0)</f>
        <v>Q1</v>
      </c>
      <c r="T572">
        <f>YEAR(SalesData[[#This Row],[Order Date]])</f>
        <v>2025</v>
      </c>
      <c r="U572">
        <f>SalesData[[#This Row],[Profit]]/SalesData[[#This Row],[Sales]]</f>
        <v>0.3</v>
      </c>
    </row>
    <row r="573" spans="1:21" x14ac:dyDescent="0.25">
      <c r="A573" t="s">
        <v>822</v>
      </c>
      <c r="B573" s="1">
        <v>45933</v>
      </c>
      <c r="C573" t="s">
        <v>159</v>
      </c>
      <c r="D573" t="s">
        <v>169</v>
      </c>
      <c r="E573" t="s">
        <v>93</v>
      </c>
      <c r="F573" t="s">
        <v>94</v>
      </c>
      <c r="G573" t="s">
        <v>64</v>
      </c>
      <c r="H573" t="s">
        <v>65</v>
      </c>
      <c r="I573" t="s">
        <v>80</v>
      </c>
      <c r="J573">
        <v>3</v>
      </c>
      <c r="K573">
        <v>4500</v>
      </c>
      <c r="L573">
        <v>0</v>
      </c>
      <c r="M573">
        <v>13500</v>
      </c>
      <c r="N573">
        <v>9450</v>
      </c>
      <c r="O573">
        <v>4050</v>
      </c>
      <c r="P573" t="s">
        <v>54</v>
      </c>
      <c r="Q573" t="s">
        <v>76</v>
      </c>
      <c r="R573" t="str">
        <f>TEXT(SalesData[[#This Row],[Order Date]],"mmm")</f>
        <v>Oct</v>
      </c>
      <c r="S573" s="2" t="str">
        <f>"Q"&amp;ROUNDUP(MONTH(SalesData[[#This Row],[Order Date]])/3,0)</f>
        <v>Q4</v>
      </c>
      <c r="T573">
        <f>YEAR(SalesData[[#This Row],[Order Date]])</f>
        <v>2025</v>
      </c>
      <c r="U573">
        <f>SalesData[[#This Row],[Profit]]/SalesData[[#This Row],[Sales]]</f>
        <v>0.3</v>
      </c>
    </row>
    <row r="574" spans="1:21" x14ac:dyDescent="0.25">
      <c r="A574" t="s">
        <v>823</v>
      </c>
      <c r="B574" s="1">
        <v>45918</v>
      </c>
      <c r="C574" t="s">
        <v>132</v>
      </c>
      <c r="D574" t="s">
        <v>336</v>
      </c>
      <c r="E574" t="s">
        <v>70</v>
      </c>
      <c r="F574" t="s">
        <v>71</v>
      </c>
      <c r="G574" t="s">
        <v>22</v>
      </c>
      <c r="H574" t="s">
        <v>46</v>
      </c>
      <c r="I574" t="s">
        <v>66</v>
      </c>
      <c r="J574">
        <v>1</v>
      </c>
      <c r="K574">
        <v>1500</v>
      </c>
      <c r="L574">
        <v>5</v>
      </c>
      <c r="M574">
        <v>1425</v>
      </c>
      <c r="N574">
        <v>1050</v>
      </c>
      <c r="O574">
        <v>375</v>
      </c>
      <c r="P574" t="s">
        <v>25</v>
      </c>
      <c r="Q574" t="s">
        <v>76</v>
      </c>
      <c r="R574" t="str">
        <f>TEXT(SalesData[[#This Row],[Order Date]],"mmm")</f>
        <v>Sep</v>
      </c>
      <c r="S574" s="2" t="str">
        <f>"Q"&amp;ROUNDUP(MONTH(SalesData[[#This Row],[Order Date]])/3,0)</f>
        <v>Q3</v>
      </c>
      <c r="T574">
        <f>YEAR(SalesData[[#This Row],[Order Date]])</f>
        <v>2025</v>
      </c>
      <c r="U574">
        <f>SalesData[[#This Row],[Profit]]/SalesData[[#This Row],[Sales]]</f>
        <v>0.26315789473684209</v>
      </c>
    </row>
    <row r="575" spans="1:21" x14ac:dyDescent="0.25">
      <c r="A575" t="s">
        <v>824</v>
      </c>
      <c r="B575" s="1">
        <v>45675</v>
      </c>
      <c r="C575" t="s">
        <v>302</v>
      </c>
      <c r="D575" t="s">
        <v>169</v>
      </c>
      <c r="E575" t="s">
        <v>44</v>
      </c>
      <c r="F575" t="s">
        <v>45</v>
      </c>
      <c r="G575" t="s">
        <v>22</v>
      </c>
      <c r="H575" t="s">
        <v>46</v>
      </c>
      <c r="I575" t="s">
        <v>53</v>
      </c>
      <c r="J575">
        <v>7</v>
      </c>
      <c r="K575">
        <v>9500</v>
      </c>
      <c r="L575">
        <v>20</v>
      </c>
      <c r="M575">
        <v>53200</v>
      </c>
      <c r="N575">
        <v>46550</v>
      </c>
      <c r="O575">
        <v>6650</v>
      </c>
      <c r="P575" t="s">
        <v>40</v>
      </c>
      <c r="Q575" t="s">
        <v>76</v>
      </c>
      <c r="R575" t="str">
        <f>TEXT(SalesData[[#This Row],[Order Date]],"mmm")</f>
        <v>Jan</v>
      </c>
      <c r="S575" s="2" t="str">
        <f>"Q"&amp;ROUNDUP(MONTH(SalesData[[#This Row],[Order Date]])/3,0)</f>
        <v>Q1</v>
      </c>
      <c r="T575">
        <f>YEAR(SalesData[[#This Row],[Order Date]])</f>
        <v>2025</v>
      </c>
      <c r="U575">
        <f>SalesData[[#This Row],[Profit]]/SalesData[[#This Row],[Sales]]</f>
        <v>0.125</v>
      </c>
    </row>
    <row r="576" spans="1:21" x14ac:dyDescent="0.25">
      <c r="A576" t="s">
        <v>825</v>
      </c>
      <c r="B576" s="1">
        <v>45747</v>
      </c>
      <c r="C576" t="s">
        <v>176</v>
      </c>
      <c r="D576" t="s">
        <v>391</v>
      </c>
      <c r="E576" t="s">
        <v>70</v>
      </c>
      <c r="F576" t="s">
        <v>71</v>
      </c>
      <c r="G576" t="s">
        <v>22</v>
      </c>
      <c r="H576" t="s">
        <v>46</v>
      </c>
      <c r="I576" t="s">
        <v>72</v>
      </c>
      <c r="J576">
        <v>2</v>
      </c>
      <c r="K576">
        <v>1500</v>
      </c>
      <c r="L576">
        <v>0</v>
      </c>
      <c r="M576">
        <v>3000</v>
      </c>
      <c r="N576">
        <v>2100</v>
      </c>
      <c r="O576">
        <v>900</v>
      </c>
      <c r="P576" t="s">
        <v>54</v>
      </c>
      <c r="Q576" t="s">
        <v>26</v>
      </c>
      <c r="R576" t="str">
        <f>TEXT(SalesData[[#This Row],[Order Date]],"mmm")</f>
        <v>Mar</v>
      </c>
      <c r="S576" s="2" t="str">
        <f>"Q"&amp;ROUNDUP(MONTH(SalesData[[#This Row],[Order Date]])/3,0)</f>
        <v>Q1</v>
      </c>
      <c r="T576">
        <f>YEAR(SalesData[[#This Row],[Order Date]])</f>
        <v>2025</v>
      </c>
      <c r="U576">
        <f>SalesData[[#This Row],[Profit]]/SalesData[[#This Row],[Sales]]</f>
        <v>0.3</v>
      </c>
    </row>
    <row r="577" spans="1:21" x14ac:dyDescent="0.25">
      <c r="A577" t="s">
        <v>826</v>
      </c>
      <c r="B577" s="1">
        <v>45833</v>
      </c>
      <c r="C577" t="s">
        <v>232</v>
      </c>
      <c r="D577" t="s">
        <v>444</v>
      </c>
      <c r="E577" t="s">
        <v>20</v>
      </c>
      <c r="F577" t="s">
        <v>21</v>
      </c>
      <c r="G577" t="s">
        <v>22</v>
      </c>
      <c r="H577" t="s">
        <v>23</v>
      </c>
      <c r="I577" t="s">
        <v>24</v>
      </c>
      <c r="J577">
        <v>1</v>
      </c>
      <c r="K577">
        <v>3500</v>
      </c>
      <c r="L577">
        <v>20</v>
      </c>
      <c r="M577">
        <v>2800</v>
      </c>
      <c r="N577">
        <v>2450</v>
      </c>
      <c r="O577">
        <v>350</v>
      </c>
      <c r="P577" t="s">
        <v>25</v>
      </c>
      <c r="Q577" t="s">
        <v>76</v>
      </c>
      <c r="R577" t="str">
        <f>TEXT(SalesData[[#This Row],[Order Date]],"mmm")</f>
        <v>Jun</v>
      </c>
      <c r="S577" s="2" t="str">
        <f>"Q"&amp;ROUNDUP(MONTH(SalesData[[#This Row],[Order Date]])/3,0)</f>
        <v>Q2</v>
      </c>
      <c r="T577">
        <f>YEAR(SalesData[[#This Row],[Order Date]])</f>
        <v>2025</v>
      </c>
      <c r="U577">
        <f>SalesData[[#This Row],[Profit]]/SalesData[[#This Row],[Sales]]</f>
        <v>0.125</v>
      </c>
    </row>
    <row r="578" spans="1:21" x14ac:dyDescent="0.25">
      <c r="A578" t="s">
        <v>827</v>
      </c>
      <c r="B578" s="1">
        <v>45790</v>
      </c>
      <c r="C578" t="s">
        <v>96</v>
      </c>
      <c r="D578" t="s">
        <v>377</v>
      </c>
      <c r="E578" t="s">
        <v>93</v>
      </c>
      <c r="F578" t="s">
        <v>94</v>
      </c>
      <c r="G578" t="s">
        <v>64</v>
      </c>
      <c r="H578" t="s">
        <v>32</v>
      </c>
      <c r="I578" t="s">
        <v>39</v>
      </c>
      <c r="J578">
        <v>10</v>
      </c>
      <c r="K578">
        <v>4500</v>
      </c>
      <c r="L578">
        <v>15</v>
      </c>
      <c r="M578">
        <v>38250</v>
      </c>
      <c r="N578">
        <v>31500</v>
      </c>
      <c r="O578">
        <v>6750.0000000000036</v>
      </c>
      <c r="P578" t="s">
        <v>25</v>
      </c>
      <c r="Q578" t="s">
        <v>33</v>
      </c>
      <c r="R578" t="str">
        <f>TEXT(SalesData[[#This Row],[Order Date]],"mmm")</f>
        <v>May</v>
      </c>
      <c r="S578" s="2" t="str">
        <f>"Q"&amp;ROUNDUP(MONTH(SalesData[[#This Row],[Order Date]])/3,0)</f>
        <v>Q2</v>
      </c>
      <c r="T578">
        <f>YEAR(SalesData[[#This Row],[Order Date]])</f>
        <v>2025</v>
      </c>
      <c r="U578">
        <f>SalesData[[#This Row],[Profit]]/SalesData[[#This Row],[Sales]]</f>
        <v>0.17647058823529421</v>
      </c>
    </row>
    <row r="579" spans="1:21" x14ac:dyDescent="0.25">
      <c r="A579" t="s">
        <v>828</v>
      </c>
      <c r="B579" s="1">
        <v>45894</v>
      </c>
      <c r="C579" t="s">
        <v>152</v>
      </c>
      <c r="D579" t="s">
        <v>342</v>
      </c>
      <c r="E579" t="s">
        <v>37</v>
      </c>
      <c r="F579" t="s">
        <v>38</v>
      </c>
      <c r="G579" t="s">
        <v>22</v>
      </c>
      <c r="H579" t="s">
        <v>46</v>
      </c>
      <c r="I579" t="s">
        <v>24</v>
      </c>
      <c r="J579">
        <v>10</v>
      </c>
      <c r="K579">
        <v>55000</v>
      </c>
      <c r="L579">
        <v>10</v>
      </c>
      <c r="M579">
        <v>495000</v>
      </c>
      <c r="N579">
        <v>385000</v>
      </c>
      <c r="O579">
        <v>110000</v>
      </c>
      <c r="P579" t="s">
        <v>58</v>
      </c>
      <c r="Q579" t="s">
        <v>33</v>
      </c>
      <c r="R579" t="str">
        <f>TEXT(SalesData[[#This Row],[Order Date]],"mmm")</f>
        <v>Aug</v>
      </c>
      <c r="S579" s="2" t="str">
        <f>"Q"&amp;ROUNDUP(MONTH(SalesData[[#This Row],[Order Date]])/3,0)</f>
        <v>Q3</v>
      </c>
      <c r="T579">
        <f>YEAR(SalesData[[#This Row],[Order Date]])</f>
        <v>2025</v>
      </c>
      <c r="U579">
        <f>SalesData[[#This Row],[Profit]]/SalesData[[#This Row],[Sales]]</f>
        <v>0.22222222222222221</v>
      </c>
    </row>
    <row r="580" spans="1:21" x14ac:dyDescent="0.25">
      <c r="A580" t="s">
        <v>829</v>
      </c>
      <c r="B580" s="1">
        <v>45803</v>
      </c>
      <c r="C580" t="s">
        <v>195</v>
      </c>
      <c r="D580" t="s">
        <v>196</v>
      </c>
      <c r="E580" t="s">
        <v>37</v>
      </c>
      <c r="F580" t="s">
        <v>38</v>
      </c>
      <c r="G580" t="s">
        <v>22</v>
      </c>
      <c r="H580" t="s">
        <v>46</v>
      </c>
      <c r="I580" t="s">
        <v>24</v>
      </c>
      <c r="J580">
        <v>9</v>
      </c>
      <c r="K580">
        <v>55000</v>
      </c>
      <c r="L580">
        <v>15</v>
      </c>
      <c r="M580">
        <v>420750</v>
      </c>
      <c r="N580">
        <v>346500</v>
      </c>
      <c r="O580">
        <v>74250</v>
      </c>
      <c r="P580" t="s">
        <v>58</v>
      </c>
      <c r="Q580" t="s">
        <v>76</v>
      </c>
      <c r="R580" t="str">
        <f>TEXT(SalesData[[#This Row],[Order Date]],"mmm")</f>
        <v>May</v>
      </c>
      <c r="S580" s="2" t="str">
        <f>"Q"&amp;ROUNDUP(MONTH(SalesData[[#This Row],[Order Date]])/3,0)</f>
        <v>Q2</v>
      </c>
      <c r="T580">
        <f>YEAR(SalesData[[#This Row],[Order Date]])</f>
        <v>2025</v>
      </c>
      <c r="U580">
        <f>SalesData[[#This Row],[Profit]]/SalesData[[#This Row],[Sales]]</f>
        <v>0.17647058823529413</v>
      </c>
    </row>
    <row r="581" spans="1:21" x14ac:dyDescent="0.25">
      <c r="A581" t="s">
        <v>830</v>
      </c>
      <c r="B581" s="1">
        <v>45794</v>
      </c>
      <c r="C581" t="s">
        <v>250</v>
      </c>
      <c r="D581" t="s">
        <v>89</v>
      </c>
      <c r="E581" t="s">
        <v>30</v>
      </c>
      <c r="F581" t="s">
        <v>31</v>
      </c>
      <c r="G581" t="s">
        <v>22</v>
      </c>
      <c r="H581" t="s">
        <v>65</v>
      </c>
      <c r="I581" t="s">
        <v>80</v>
      </c>
      <c r="J581">
        <v>10</v>
      </c>
      <c r="K581">
        <v>800</v>
      </c>
      <c r="L581">
        <v>15</v>
      </c>
      <c r="M581">
        <v>6800</v>
      </c>
      <c r="N581">
        <v>5600</v>
      </c>
      <c r="O581">
        <v>1200</v>
      </c>
      <c r="P581" t="s">
        <v>58</v>
      </c>
      <c r="Q581" t="s">
        <v>76</v>
      </c>
      <c r="R581" t="str">
        <f>TEXT(SalesData[[#This Row],[Order Date]],"mmm")</f>
        <v>May</v>
      </c>
      <c r="S581" s="2" t="str">
        <f>"Q"&amp;ROUNDUP(MONTH(SalesData[[#This Row],[Order Date]])/3,0)</f>
        <v>Q2</v>
      </c>
      <c r="T581">
        <f>YEAR(SalesData[[#This Row],[Order Date]])</f>
        <v>2025</v>
      </c>
      <c r="U581">
        <f>SalesData[[#This Row],[Profit]]/SalesData[[#This Row],[Sales]]</f>
        <v>0.17647058823529413</v>
      </c>
    </row>
    <row r="582" spans="1:21" x14ac:dyDescent="0.25">
      <c r="A582" t="s">
        <v>831</v>
      </c>
      <c r="B582" s="1">
        <v>45744</v>
      </c>
      <c r="C582" t="s">
        <v>246</v>
      </c>
      <c r="D582" t="s">
        <v>164</v>
      </c>
      <c r="E582" t="s">
        <v>44</v>
      </c>
      <c r="F582" t="s">
        <v>45</v>
      </c>
      <c r="G582" t="s">
        <v>22</v>
      </c>
      <c r="H582" t="s">
        <v>46</v>
      </c>
      <c r="I582" t="s">
        <v>80</v>
      </c>
      <c r="J582">
        <v>7</v>
      </c>
      <c r="K582">
        <v>9500</v>
      </c>
      <c r="L582">
        <v>5</v>
      </c>
      <c r="M582">
        <v>63175</v>
      </c>
      <c r="N582">
        <v>46550</v>
      </c>
      <c r="O582">
        <v>16625</v>
      </c>
      <c r="P582" t="s">
        <v>40</v>
      </c>
      <c r="Q582" t="s">
        <v>26</v>
      </c>
      <c r="R582" t="str">
        <f>TEXT(SalesData[[#This Row],[Order Date]],"mmm")</f>
        <v>Mar</v>
      </c>
      <c r="S582" s="2" t="str">
        <f>"Q"&amp;ROUNDUP(MONTH(SalesData[[#This Row],[Order Date]])/3,0)</f>
        <v>Q1</v>
      </c>
      <c r="T582">
        <f>YEAR(SalesData[[#This Row],[Order Date]])</f>
        <v>2025</v>
      </c>
      <c r="U582">
        <f>SalesData[[#This Row],[Profit]]/SalesData[[#This Row],[Sales]]</f>
        <v>0.26315789473684209</v>
      </c>
    </row>
    <row r="583" spans="1:21" x14ac:dyDescent="0.25">
      <c r="A583" t="s">
        <v>832</v>
      </c>
      <c r="B583" s="1">
        <v>45971</v>
      </c>
      <c r="C583" t="s">
        <v>48</v>
      </c>
      <c r="D583" t="s">
        <v>496</v>
      </c>
      <c r="E583" t="s">
        <v>44</v>
      </c>
      <c r="F583" t="s">
        <v>45</v>
      </c>
      <c r="G583" t="s">
        <v>22</v>
      </c>
      <c r="H583" t="s">
        <v>23</v>
      </c>
      <c r="I583" t="s">
        <v>72</v>
      </c>
      <c r="J583">
        <v>5</v>
      </c>
      <c r="K583">
        <v>9500</v>
      </c>
      <c r="L583">
        <v>15</v>
      </c>
      <c r="M583">
        <v>40375</v>
      </c>
      <c r="N583">
        <v>33250</v>
      </c>
      <c r="O583">
        <v>7125</v>
      </c>
      <c r="P583" t="s">
        <v>58</v>
      </c>
      <c r="Q583" t="s">
        <v>33</v>
      </c>
      <c r="R583" t="str">
        <f>TEXT(SalesData[[#This Row],[Order Date]],"mmm")</f>
        <v>Nov</v>
      </c>
      <c r="S583" s="2" t="str">
        <f>"Q"&amp;ROUNDUP(MONTH(SalesData[[#This Row],[Order Date]])/3,0)</f>
        <v>Q4</v>
      </c>
      <c r="T583">
        <f>YEAR(SalesData[[#This Row],[Order Date]])</f>
        <v>2025</v>
      </c>
      <c r="U583">
        <f>SalesData[[#This Row],[Profit]]/SalesData[[#This Row],[Sales]]</f>
        <v>0.17647058823529413</v>
      </c>
    </row>
    <row r="584" spans="1:21" x14ac:dyDescent="0.25">
      <c r="A584" t="s">
        <v>833</v>
      </c>
      <c r="B584" s="1">
        <v>45923</v>
      </c>
      <c r="C584" t="s">
        <v>88</v>
      </c>
      <c r="D584" t="s">
        <v>391</v>
      </c>
      <c r="E584" t="s">
        <v>30</v>
      </c>
      <c r="F584" t="s">
        <v>31</v>
      </c>
      <c r="G584" t="s">
        <v>22</v>
      </c>
      <c r="H584" t="s">
        <v>65</v>
      </c>
      <c r="I584" t="s">
        <v>53</v>
      </c>
      <c r="J584">
        <v>2</v>
      </c>
      <c r="K584">
        <v>800</v>
      </c>
      <c r="L584">
        <v>10</v>
      </c>
      <c r="M584">
        <v>1440</v>
      </c>
      <c r="N584">
        <v>1120</v>
      </c>
      <c r="O584">
        <v>320</v>
      </c>
      <c r="P584" t="s">
        <v>58</v>
      </c>
      <c r="Q584" t="s">
        <v>76</v>
      </c>
      <c r="R584" t="str">
        <f>TEXT(SalesData[[#This Row],[Order Date]],"mmm")</f>
        <v>Sep</v>
      </c>
      <c r="S584" s="2" t="str">
        <f>"Q"&amp;ROUNDUP(MONTH(SalesData[[#This Row],[Order Date]])/3,0)</f>
        <v>Q3</v>
      </c>
      <c r="T584">
        <f>YEAR(SalesData[[#This Row],[Order Date]])</f>
        <v>2025</v>
      </c>
      <c r="U584">
        <f>SalesData[[#This Row],[Profit]]/SalesData[[#This Row],[Sales]]</f>
        <v>0.22222222222222221</v>
      </c>
    </row>
    <row r="585" spans="1:21" x14ac:dyDescent="0.25">
      <c r="A585" t="s">
        <v>834</v>
      </c>
      <c r="B585" s="1">
        <v>45828</v>
      </c>
      <c r="C585" t="s">
        <v>613</v>
      </c>
      <c r="D585" t="s">
        <v>199</v>
      </c>
      <c r="E585" t="s">
        <v>70</v>
      </c>
      <c r="F585" t="s">
        <v>71</v>
      </c>
      <c r="G585" t="s">
        <v>22</v>
      </c>
      <c r="H585" t="s">
        <v>65</v>
      </c>
      <c r="I585" t="s">
        <v>24</v>
      </c>
      <c r="J585">
        <v>10</v>
      </c>
      <c r="K585">
        <v>1500</v>
      </c>
      <c r="L585">
        <v>0</v>
      </c>
      <c r="M585">
        <v>15000</v>
      </c>
      <c r="N585">
        <v>10500</v>
      </c>
      <c r="O585">
        <v>4500</v>
      </c>
      <c r="P585" t="s">
        <v>40</v>
      </c>
      <c r="Q585" t="s">
        <v>76</v>
      </c>
      <c r="R585" t="str">
        <f>TEXT(SalesData[[#This Row],[Order Date]],"mmm")</f>
        <v>Jun</v>
      </c>
      <c r="S585" s="2" t="str">
        <f>"Q"&amp;ROUNDUP(MONTH(SalesData[[#This Row],[Order Date]])/3,0)</f>
        <v>Q2</v>
      </c>
      <c r="T585">
        <f>YEAR(SalesData[[#This Row],[Order Date]])</f>
        <v>2025</v>
      </c>
      <c r="U585">
        <f>SalesData[[#This Row],[Profit]]/SalesData[[#This Row],[Sales]]</f>
        <v>0.3</v>
      </c>
    </row>
    <row r="586" spans="1:21" x14ac:dyDescent="0.25">
      <c r="A586" t="s">
        <v>835</v>
      </c>
      <c r="B586" s="1">
        <v>45792</v>
      </c>
      <c r="C586" t="s">
        <v>273</v>
      </c>
      <c r="D586" t="s">
        <v>145</v>
      </c>
      <c r="E586" t="s">
        <v>30</v>
      </c>
      <c r="F586" t="s">
        <v>31</v>
      </c>
      <c r="G586" t="s">
        <v>22</v>
      </c>
      <c r="H586" t="s">
        <v>46</v>
      </c>
      <c r="I586" t="s">
        <v>80</v>
      </c>
      <c r="J586">
        <v>6</v>
      </c>
      <c r="K586">
        <v>800</v>
      </c>
      <c r="L586">
        <v>15</v>
      </c>
      <c r="M586">
        <v>4080</v>
      </c>
      <c r="N586">
        <v>3360</v>
      </c>
      <c r="O586">
        <v>720</v>
      </c>
      <c r="P586" t="s">
        <v>40</v>
      </c>
      <c r="Q586" t="s">
        <v>76</v>
      </c>
      <c r="R586" t="str">
        <f>TEXT(SalesData[[#This Row],[Order Date]],"mmm")</f>
        <v>May</v>
      </c>
      <c r="S586" s="2" t="str">
        <f>"Q"&amp;ROUNDUP(MONTH(SalesData[[#This Row],[Order Date]])/3,0)</f>
        <v>Q2</v>
      </c>
      <c r="T586">
        <f>YEAR(SalesData[[#This Row],[Order Date]])</f>
        <v>2025</v>
      </c>
      <c r="U586">
        <f>SalesData[[#This Row],[Profit]]/SalesData[[#This Row],[Sales]]</f>
        <v>0.17647058823529413</v>
      </c>
    </row>
    <row r="587" spans="1:21" x14ac:dyDescent="0.25">
      <c r="A587" t="s">
        <v>836</v>
      </c>
      <c r="B587" s="1">
        <v>46018</v>
      </c>
      <c r="C587" t="s">
        <v>123</v>
      </c>
      <c r="D587" t="s">
        <v>188</v>
      </c>
      <c r="E587" t="s">
        <v>50</v>
      </c>
      <c r="F587" t="s">
        <v>51</v>
      </c>
      <c r="G587" t="s">
        <v>52</v>
      </c>
      <c r="H587" t="s">
        <v>46</v>
      </c>
      <c r="I587" t="s">
        <v>39</v>
      </c>
      <c r="J587">
        <v>6</v>
      </c>
      <c r="K587">
        <v>3200</v>
      </c>
      <c r="L587">
        <v>10</v>
      </c>
      <c r="M587">
        <v>17280</v>
      </c>
      <c r="N587">
        <v>13440</v>
      </c>
      <c r="O587">
        <v>3840</v>
      </c>
      <c r="P587" t="s">
        <v>40</v>
      </c>
      <c r="Q587" t="s">
        <v>76</v>
      </c>
      <c r="R587" t="str">
        <f>TEXT(SalesData[[#This Row],[Order Date]],"mmm")</f>
        <v>Dec</v>
      </c>
      <c r="S587" s="2" t="str">
        <f>"Q"&amp;ROUNDUP(MONTH(SalesData[[#This Row],[Order Date]])/3,0)</f>
        <v>Q4</v>
      </c>
      <c r="T587">
        <f>YEAR(SalesData[[#This Row],[Order Date]])</f>
        <v>2025</v>
      </c>
      <c r="U587">
        <f>SalesData[[#This Row],[Profit]]/SalesData[[#This Row],[Sales]]</f>
        <v>0.22222222222222221</v>
      </c>
    </row>
    <row r="588" spans="1:21" x14ac:dyDescent="0.25">
      <c r="A588" t="s">
        <v>837</v>
      </c>
      <c r="B588" s="1">
        <v>45678</v>
      </c>
      <c r="C588" t="s">
        <v>96</v>
      </c>
      <c r="D588" t="s">
        <v>285</v>
      </c>
      <c r="E588" t="s">
        <v>93</v>
      </c>
      <c r="F588" t="s">
        <v>94</v>
      </c>
      <c r="G588" t="s">
        <v>64</v>
      </c>
      <c r="H588" t="s">
        <v>23</v>
      </c>
      <c r="I588" t="s">
        <v>39</v>
      </c>
      <c r="J588">
        <v>4</v>
      </c>
      <c r="K588">
        <v>4500</v>
      </c>
      <c r="L588">
        <v>20</v>
      </c>
      <c r="M588">
        <v>14400</v>
      </c>
      <c r="N588">
        <v>12600</v>
      </c>
      <c r="O588">
        <v>1800</v>
      </c>
      <c r="P588" t="s">
        <v>40</v>
      </c>
      <c r="Q588" t="s">
        <v>76</v>
      </c>
      <c r="R588" t="str">
        <f>TEXT(SalesData[[#This Row],[Order Date]],"mmm")</f>
        <v>Jan</v>
      </c>
      <c r="S588" s="2" t="str">
        <f>"Q"&amp;ROUNDUP(MONTH(SalesData[[#This Row],[Order Date]])/3,0)</f>
        <v>Q1</v>
      </c>
      <c r="T588">
        <f>YEAR(SalesData[[#This Row],[Order Date]])</f>
        <v>2025</v>
      </c>
      <c r="U588">
        <f>SalesData[[#This Row],[Profit]]/SalesData[[#This Row],[Sales]]</f>
        <v>0.125</v>
      </c>
    </row>
    <row r="589" spans="1:21" x14ac:dyDescent="0.25">
      <c r="A589" t="s">
        <v>838</v>
      </c>
      <c r="B589" s="1">
        <v>45761</v>
      </c>
      <c r="C589" t="s">
        <v>539</v>
      </c>
      <c r="D589" t="s">
        <v>19</v>
      </c>
      <c r="E589" t="s">
        <v>62</v>
      </c>
      <c r="F589" t="s">
        <v>63</v>
      </c>
      <c r="G589" t="s">
        <v>64</v>
      </c>
      <c r="H589" t="s">
        <v>46</v>
      </c>
      <c r="I589" t="s">
        <v>53</v>
      </c>
      <c r="J589">
        <v>6</v>
      </c>
      <c r="K589">
        <v>8500</v>
      </c>
      <c r="L589">
        <v>5</v>
      </c>
      <c r="M589">
        <v>48450</v>
      </c>
      <c r="N589">
        <v>35700</v>
      </c>
      <c r="O589">
        <v>12750</v>
      </c>
      <c r="P589" t="s">
        <v>40</v>
      </c>
      <c r="Q589" t="s">
        <v>33</v>
      </c>
      <c r="R589" t="str">
        <f>TEXT(SalesData[[#This Row],[Order Date]],"mmm")</f>
        <v>Apr</v>
      </c>
      <c r="S589" s="2" t="str">
        <f>"Q"&amp;ROUNDUP(MONTH(SalesData[[#This Row],[Order Date]])/3,0)</f>
        <v>Q2</v>
      </c>
      <c r="T589">
        <f>YEAR(SalesData[[#This Row],[Order Date]])</f>
        <v>2025</v>
      </c>
      <c r="U589">
        <f>SalesData[[#This Row],[Profit]]/SalesData[[#This Row],[Sales]]</f>
        <v>0.26315789473684209</v>
      </c>
    </row>
    <row r="590" spans="1:21" x14ac:dyDescent="0.25">
      <c r="A590" t="s">
        <v>839</v>
      </c>
      <c r="B590" s="1">
        <v>45830</v>
      </c>
      <c r="C590" t="s">
        <v>35</v>
      </c>
      <c r="D590" t="s">
        <v>113</v>
      </c>
      <c r="E590" t="s">
        <v>44</v>
      </c>
      <c r="F590" t="s">
        <v>45</v>
      </c>
      <c r="G590" t="s">
        <v>22</v>
      </c>
      <c r="H590" t="s">
        <v>23</v>
      </c>
      <c r="I590" t="s">
        <v>24</v>
      </c>
      <c r="J590">
        <v>3</v>
      </c>
      <c r="K590">
        <v>9500</v>
      </c>
      <c r="L590">
        <v>20</v>
      </c>
      <c r="M590">
        <v>22800</v>
      </c>
      <c r="N590">
        <v>19950</v>
      </c>
      <c r="O590">
        <v>2850</v>
      </c>
      <c r="P590" t="s">
        <v>54</v>
      </c>
      <c r="Q590" t="s">
        <v>33</v>
      </c>
      <c r="R590" t="str">
        <f>TEXT(SalesData[[#This Row],[Order Date]],"mmm")</f>
        <v>Jun</v>
      </c>
      <c r="S590" s="2" t="str">
        <f>"Q"&amp;ROUNDUP(MONTH(SalesData[[#This Row],[Order Date]])/3,0)</f>
        <v>Q2</v>
      </c>
      <c r="T590">
        <f>YEAR(SalesData[[#This Row],[Order Date]])</f>
        <v>2025</v>
      </c>
      <c r="U590">
        <f>SalesData[[#This Row],[Profit]]/SalesData[[#This Row],[Sales]]</f>
        <v>0.125</v>
      </c>
    </row>
    <row r="591" spans="1:21" x14ac:dyDescent="0.25">
      <c r="A591" t="s">
        <v>840</v>
      </c>
      <c r="B591" s="1">
        <v>45958</v>
      </c>
      <c r="C591" t="s">
        <v>60</v>
      </c>
      <c r="D591" t="s">
        <v>201</v>
      </c>
      <c r="E591" t="s">
        <v>37</v>
      </c>
      <c r="F591" t="s">
        <v>38</v>
      </c>
      <c r="G591" t="s">
        <v>22</v>
      </c>
      <c r="H591" t="s">
        <v>23</v>
      </c>
      <c r="I591" t="s">
        <v>66</v>
      </c>
      <c r="J591">
        <v>3</v>
      </c>
      <c r="K591">
        <v>55000</v>
      </c>
      <c r="L591">
        <v>15</v>
      </c>
      <c r="M591">
        <v>140250</v>
      </c>
      <c r="N591">
        <v>115500</v>
      </c>
      <c r="O591">
        <v>24750.000000000011</v>
      </c>
      <c r="P591" t="s">
        <v>40</v>
      </c>
      <c r="Q591" t="s">
        <v>76</v>
      </c>
      <c r="R591" t="str">
        <f>TEXT(SalesData[[#This Row],[Order Date]],"mmm")</f>
        <v>Oct</v>
      </c>
      <c r="S591" s="2" t="str">
        <f>"Q"&amp;ROUNDUP(MONTH(SalesData[[#This Row],[Order Date]])/3,0)</f>
        <v>Q4</v>
      </c>
      <c r="T591">
        <f>YEAR(SalesData[[#This Row],[Order Date]])</f>
        <v>2025</v>
      </c>
      <c r="U591">
        <f>SalesData[[#This Row],[Profit]]/SalesData[[#This Row],[Sales]]</f>
        <v>0.17647058823529418</v>
      </c>
    </row>
    <row r="592" spans="1:21" x14ac:dyDescent="0.25">
      <c r="A592" t="s">
        <v>841</v>
      </c>
      <c r="B592" s="1">
        <v>45779</v>
      </c>
      <c r="C592" t="s">
        <v>219</v>
      </c>
      <c r="D592" t="s">
        <v>285</v>
      </c>
      <c r="E592" t="s">
        <v>37</v>
      </c>
      <c r="F592" t="s">
        <v>38</v>
      </c>
      <c r="G592" t="s">
        <v>22</v>
      </c>
      <c r="H592" t="s">
        <v>32</v>
      </c>
      <c r="I592" t="s">
        <v>80</v>
      </c>
      <c r="J592">
        <v>1</v>
      </c>
      <c r="K592">
        <v>55000</v>
      </c>
      <c r="L592">
        <v>0</v>
      </c>
      <c r="M592">
        <v>55000</v>
      </c>
      <c r="N592">
        <v>38500</v>
      </c>
      <c r="O592">
        <v>16500</v>
      </c>
      <c r="P592" t="s">
        <v>54</v>
      </c>
      <c r="Q592" t="s">
        <v>76</v>
      </c>
      <c r="R592" t="str">
        <f>TEXT(SalesData[[#This Row],[Order Date]],"mmm")</f>
        <v>May</v>
      </c>
      <c r="S592" s="2" t="str">
        <f>"Q"&amp;ROUNDUP(MONTH(SalesData[[#This Row],[Order Date]])/3,0)</f>
        <v>Q2</v>
      </c>
      <c r="T592">
        <f>YEAR(SalesData[[#This Row],[Order Date]])</f>
        <v>2025</v>
      </c>
      <c r="U592">
        <f>SalesData[[#This Row],[Profit]]/SalesData[[#This Row],[Sales]]</f>
        <v>0.3</v>
      </c>
    </row>
    <row r="593" spans="1:21" x14ac:dyDescent="0.25">
      <c r="A593" t="s">
        <v>842</v>
      </c>
      <c r="B593" s="1">
        <v>45715</v>
      </c>
      <c r="C593" t="s">
        <v>42</v>
      </c>
      <c r="D593" t="s">
        <v>340</v>
      </c>
      <c r="E593" t="s">
        <v>50</v>
      </c>
      <c r="F593" t="s">
        <v>51</v>
      </c>
      <c r="G593" t="s">
        <v>52</v>
      </c>
      <c r="H593" t="s">
        <v>32</v>
      </c>
      <c r="I593" t="s">
        <v>66</v>
      </c>
      <c r="J593">
        <v>8</v>
      </c>
      <c r="K593">
        <v>3200</v>
      </c>
      <c r="L593">
        <v>15</v>
      </c>
      <c r="M593">
        <v>21760</v>
      </c>
      <c r="N593">
        <v>17920</v>
      </c>
      <c r="O593">
        <v>3840</v>
      </c>
      <c r="P593" t="s">
        <v>58</v>
      </c>
      <c r="Q593" t="s">
        <v>33</v>
      </c>
      <c r="R593" t="str">
        <f>TEXT(SalesData[[#This Row],[Order Date]],"mmm")</f>
        <v>Feb</v>
      </c>
      <c r="S593" s="2" t="str">
        <f>"Q"&amp;ROUNDUP(MONTH(SalesData[[#This Row],[Order Date]])/3,0)</f>
        <v>Q1</v>
      </c>
      <c r="T593">
        <f>YEAR(SalesData[[#This Row],[Order Date]])</f>
        <v>2025</v>
      </c>
      <c r="U593">
        <f>SalesData[[#This Row],[Profit]]/SalesData[[#This Row],[Sales]]</f>
        <v>0.17647058823529413</v>
      </c>
    </row>
    <row r="594" spans="1:21" x14ac:dyDescent="0.25">
      <c r="A594" t="s">
        <v>843</v>
      </c>
      <c r="B594" s="1">
        <v>45708</v>
      </c>
      <c r="C594" t="s">
        <v>155</v>
      </c>
      <c r="D594" t="s">
        <v>320</v>
      </c>
      <c r="E594" t="s">
        <v>37</v>
      </c>
      <c r="F594" t="s">
        <v>38</v>
      </c>
      <c r="G594" t="s">
        <v>22</v>
      </c>
      <c r="H594" t="s">
        <v>65</v>
      </c>
      <c r="I594" t="s">
        <v>72</v>
      </c>
      <c r="J594">
        <v>3</v>
      </c>
      <c r="K594">
        <v>55000</v>
      </c>
      <c r="L594">
        <v>15</v>
      </c>
      <c r="M594">
        <v>140250</v>
      </c>
      <c r="N594">
        <v>115500</v>
      </c>
      <c r="O594">
        <v>24750.000000000011</v>
      </c>
      <c r="P594" t="s">
        <v>40</v>
      </c>
      <c r="Q594" t="s">
        <v>76</v>
      </c>
      <c r="R594" t="str">
        <f>TEXT(SalesData[[#This Row],[Order Date]],"mmm")</f>
        <v>Feb</v>
      </c>
      <c r="S594" s="2" t="str">
        <f>"Q"&amp;ROUNDUP(MONTH(SalesData[[#This Row],[Order Date]])/3,0)</f>
        <v>Q1</v>
      </c>
      <c r="T594">
        <f>YEAR(SalesData[[#This Row],[Order Date]])</f>
        <v>2025</v>
      </c>
      <c r="U594">
        <f>SalesData[[#This Row],[Profit]]/SalesData[[#This Row],[Sales]]</f>
        <v>0.17647058823529418</v>
      </c>
    </row>
    <row r="595" spans="1:21" x14ac:dyDescent="0.25">
      <c r="A595" t="s">
        <v>844</v>
      </c>
      <c r="B595" s="1">
        <v>45931</v>
      </c>
      <c r="C595" t="s">
        <v>125</v>
      </c>
      <c r="D595" t="s">
        <v>422</v>
      </c>
      <c r="E595" t="s">
        <v>62</v>
      </c>
      <c r="F595" t="s">
        <v>63</v>
      </c>
      <c r="G595" t="s">
        <v>64</v>
      </c>
      <c r="H595" t="s">
        <v>23</v>
      </c>
      <c r="I595" t="s">
        <v>66</v>
      </c>
      <c r="J595">
        <v>3</v>
      </c>
      <c r="K595">
        <v>8500</v>
      </c>
      <c r="L595">
        <v>0</v>
      </c>
      <c r="M595">
        <v>25500</v>
      </c>
      <c r="N595">
        <v>17850</v>
      </c>
      <c r="O595">
        <v>7650</v>
      </c>
      <c r="P595" t="s">
        <v>54</v>
      </c>
      <c r="Q595" t="s">
        <v>33</v>
      </c>
      <c r="R595" t="str">
        <f>TEXT(SalesData[[#This Row],[Order Date]],"mmm")</f>
        <v>Oct</v>
      </c>
      <c r="S595" s="2" t="str">
        <f>"Q"&amp;ROUNDUP(MONTH(SalesData[[#This Row],[Order Date]])/3,0)</f>
        <v>Q4</v>
      </c>
      <c r="T595">
        <f>YEAR(SalesData[[#This Row],[Order Date]])</f>
        <v>2025</v>
      </c>
      <c r="U595">
        <f>SalesData[[#This Row],[Profit]]/SalesData[[#This Row],[Sales]]</f>
        <v>0.3</v>
      </c>
    </row>
    <row r="596" spans="1:21" x14ac:dyDescent="0.25">
      <c r="A596" t="s">
        <v>845</v>
      </c>
      <c r="B596" s="1">
        <v>45757</v>
      </c>
      <c r="C596" t="s">
        <v>268</v>
      </c>
      <c r="D596" t="s">
        <v>444</v>
      </c>
      <c r="E596" t="s">
        <v>20</v>
      </c>
      <c r="F596" t="s">
        <v>21</v>
      </c>
      <c r="G596" t="s">
        <v>22</v>
      </c>
      <c r="H596" t="s">
        <v>65</v>
      </c>
      <c r="I596" t="s">
        <v>66</v>
      </c>
      <c r="J596">
        <v>6</v>
      </c>
      <c r="K596">
        <v>3500</v>
      </c>
      <c r="L596">
        <v>10</v>
      </c>
      <c r="M596">
        <v>18900</v>
      </c>
      <c r="N596">
        <v>14700</v>
      </c>
      <c r="O596">
        <v>4200.0000000000018</v>
      </c>
      <c r="P596" t="s">
        <v>54</v>
      </c>
      <c r="Q596" t="s">
        <v>26</v>
      </c>
      <c r="R596" t="str">
        <f>TEXT(SalesData[[#This Row],[Order Date]],"mmm")</f>
        <v>Apr</v>
      </c>
      <c r="S596" s="2" t="str">
        <f>"Q"&amp;ROUNDUP(MONTH(SalesData[[#This Row],[Order Date]])/3,0)</f>
        <v>Q2</v>
      </c>
      <c r="T596">
        <f>YEAR(SalesData[[#This Row],[Order Date]])</f>
        <v>2025</v>
      </c>
      <c r="U596">
        <f>SalesData[[#This Row],[Profit]]/SalesData[[#This Row],[Sales]]</f>
        <v>0.22222222222222232</v>
      </c>
    </row>
    <row r="597" spans="1:21" x14ac:dyDescent="0.25">
      <c r="A597" t="s">
        <v>846</v>
      </c>
      <c r="B597" s="1">
        <v>45882</v>
      </c>
      <c r="C597" t="s">
        <v>277</v>
      </c>
      <c r="D597" t="s">
        <v>177</v>
      </c>
      <c r="E597" t="s">
        <v>62</v>
      </c>
      <c r="F597" t="s">
        <v>63</v>
      </c>
      <c r="G597" t="s">
        <v>64</v>
      </c>
      <c r="H597" t="s">
        <v>65</v>
      </c>
      <c r="I597" t="s">
        <v>39</v>
      </c>
      <c r="J597">
        <v>8</v>
      </c>
      <c r="K597">
        <v>8500</v>
      </c>
      <c r="L597">
        <v>10</v>
      </c>
      <c r="M597">
        <v>61200</v>
      </c>
      <c r="N597">
        <v>47600</v>
      </c>
      <c r="O597">
        <v>13600</v>
      </c>
      <c r="P597" t="s">
        <v>58</v>
      </c>
      <c r="Q597" t="s">
        <v>33</v>
      </c>
      <c r="R597" t="str">
        <f>TEXT(SalesData[[#This Row],[Order Date]],"mmm")</f>
        <v>Aug</v>
      </c>
      <c r="S597" s="2" t="str">
        <f>"Q"&amp;ROUNDUP(MONTH(SalesData[[#This Row],[Order Date]])/3,0)</f>
        <v>Q3</v>
      </c>
      <c r="T597">
        <f>YEAR(SalesData[[#This Row],[Order Date]])</f>
        <v>2025</v>
      </c>
      <c r="U597">
        <f>SalesData[[#This Row],[Profit]]/SalesData[[#This Row],[Sales]]</f>
        <v>0.22222222222222221</v>
      </c>
    </row>
    <row r="598" spans="1:21" x14ac:dyDescent="0.25">
      <c r="A598" t="s">
        <v>847</v>
      </c>
      <c r="B598" s="1">
        <v>45725</v>
      </c>
      <c r="C598" t="s">
        <v>35</v>
      </c>
      <c r="D598" t="s">
        <v>555</v>
      </c>
      <c r="E598" t="s">
        <v>93</v>
      </c>
      <c r="F598" t="s">
        <v>94</v>
      </c>
      <c r="G598" t="s">
        <v>64</v>
      </c>
      <c r="H598" t="s">
        <v>46</v>
      </c>
      <c r="I598" t="s">
        <v>24</v>
      </c>
      <c r="J598">
        <v>4</v>
      </c>
      <c r="K598">
        <v>4500</v>
      </c>
      <c r="L598">
        <v>15</v>
      </c>
      <c r="M598">
        <v>15300</v>
      </c>
      <c r="N598">
        <v>12600</v>
      </c>
      <c r="O598">
        <v>2700</v>
      </c>
      <c r="P598" t="s">
        <v>40</v>
      </c>
      <c r="Q598" t="s">
        <v>26</v>
      </c>
      <c r="R598" t="str">
        <f>TEXT(SalesData[[#This Row],[Order Date]],"mmm")</f>
        <v>Mar</v>
      </c>
      <c r="S598" s="2" t="str">
        <f>"Q"&amp;ROUNDUP(MONTH(SalesData[[#This Row],[Order Date]])/3,0)</f>
        <v>Q1</v>
      </c>
      <c r="T598">
        <f>YEAR(SalesData[[#This Row],[Order Date]])</f>
        <v>2025</v>
      </c>
      <c r="U598">
        <f>SalesData[[#This Row],[Profit]]/SalesData[[#This Row],[Sales]]</f>
        <v>0.17647058823529413</v>
      </c>
    </row>
    <row r="599" spans="1:21" x14ac:dyDescent="0.25">
      <c r="A599" t="s">
        <v>848</v>
      </c>
      <c r="B599" s="1">
        <v>45872</v>
      </c>
      <c r="C599" t="s">
        <v>150</v>
      </c>
      <c r="D599" t="s">
        <v>185</v>
      </c>
      <c r="E599" t="s">
        <v>93</v>
      </c>
      <c r="F599" t="s">
        <v>94</v>
      </c>
      <c r="G599" t="s">
        <v>64</v>
      </c>
      <c r="H599" t="s">
        <v>23</v>
      </c>
      <c r="I599" t="s">
        <v>80</v>
      </c>
      <c r="J599">
        <v>4</v>
      </c>
      <c r="K599">
        <v>4500</v>
      </c>
      <c r="L599">
        <v>0</v>
      </c>
      <c r="M599">
        <v>18000</v>
      </c>
      <c r="N599">
        <v>12600</v>
      </c>
      <c r="O599">
        <v>5400</v>
      </c>
      <c r="P599" t="s">
        <v>40</v>
      </c>
      <c r="Q599" t="s">
        <v>76</v>
      </c>
      <c r="R599" t="str">
        <f>TEXT(SalesData[[#This Row],[Order Date]],"mmm")</f>
        <v>Aug</v>
      </c>
      <c r="S599" s="2" t="str">
        <f>"Q"&amp;ROUNDUP(MONTH(SalesData[[#This Row],[Order Date]])/3,0)</f>
        <v>Q3</v>
      </c>
      <c r="T599">
        <f>YEAR(SalesData[[#This Row],[Order Date]])</f>
        <v>2025</v>
      </c>
      <c r="U599">
        <f>SalesData[[#This Row],[Profit]]/SalesData[[#This Row],[Sales]]</f>
        <v>0.3</v>
      </c>
    </row>
    <row r="600" spans="1:21" x14ac:dyDescent="0.25">
      <c r="A600" t="s">
        <v>849</v>
      </c>
      <c r="B600" s="1">
        <v>45968</v>
      </c>
      <c r="C600" t="s">
        <v>332</v>
      </c>
      <c r="D600" t="s">
        <v>57</v>
      </c>
      <c r="E600" t="s">
        <v>93</v>
      </c>
      <c r="F600" t="s">
        <v>94</v>
      </c>
      <c r="G600" t="s">
        <v>64</v>
      </c>
      <c r="H600" t="s">
        <v>32</v>
      </c>
      <c r="I600" t="s">
        <v>66</v>
      </c>
      <c r="J600">
        <v>3</v>
      </c>
      <c r="K600">
        <v>4500</v>
      </c>
      <c r="L600">
        <v>10</v>
      </c>
      <c r="M600">
        <v>12150</v>
      </c>
      <c r="N600">
        <v>9450</v>
      </c>
      <c r="O600">
        <v>2700</v>
      </c>
      <c r="P600" t="s">
        <v>40</v>
      </c>
      <c r="Q600" t="s">
        <v>26</v>
      </c>
      <c r="R600" t="str">
        <f>TEXT(SalesData[[#This Row],[Order Date]],"mmm")</f>
        <v>Nov</v>
      </c>
      <c r="S600" s="2" t="str">
        <f>"Q"&amp;ROUNDUP(MONTH(SalesData[[#This Row],[Order Date]])/3,0)</f>
        <v>Q4</v>
      </c>
      <c r="T600">
        <f>YEAR(SalesData[[#This Row],[Order Date]])</f>
        <v>2025</v>
      </c>
      <c r="U600">
        <f>SalesData[[#This Row],[Profit]]/SalesData[[#This Row],[Sales]]</f>
        <v>0.22222222222222221</v>
      </c>
    </row>
    <row r="601" spans="1:21" x14ac:dyDescent="0.25">
      <c r="A601" t="s">
        <v>850</v>
      </c>
      <c r="B601" s="1">
        <v>45724</v>
      </c>
      <c r="C601" t="s">
        <v>141</v>
      </c>
      <c r="D601" t="s">
        <v>717</v>
      </c>
      <c r="E601" t="s">
        <v>30</v>
      </c>
      <c r="F601" t="s">
        <v>31</v>
      </c>
      <c r="G601" t="s">
        <v>22</v>
      </c>
      <c r="H601" t="s">
        <v>65</v>
      </c>
      <c r="I601" t="s">
        <v>39</v>
      </c>
      <c r="J601">
        <v>1</v>
      </c>
      <c r="K601">
        <v>800</v>
      </c>
      <c r="L601">
        <v>5</v>
      </c>
      <c r="M601">
        <v>760</v>
      </c>
      <c r="N601">
        <v>560</v>
      </c>
      <c r="O601">
        <v>200</v>
      </c>
      <c r="P601" t="s">
        <v>40</v>
      </c>
      <c r="Q601" t="s">
        <v>33</v>
      </c>
      <c r="R601" t="str">
        <f>TEXT(SalesData[[#This Row],[Order Date]],"mmm")</f>
        <v>Mar</v>
      </c>
      <c r="S601" s="2" t="str">
        <f>"Q"&amp;ROUNDUP(MONTH(SalesData[[#This Row],[Order Date]])/3,0)</f>
        <v>Q1</v>
      </c>
      <c r="T601">
        <f>YEAR(SalesData[[#This Row],[Order Date]])</f>
        <v>2025</v>
      </c>
      <c r="U601">
        <f>SalesData[[#This Row],[Profit]]/SalesData[[#This Row],[Sales]]</f>
        <v>0.26315789473684209</v>
      </c>
    </row>
    <row r="602" spans="1:21" x14ac:dyDescent="0.25">
      <c r="A602" t="s">
        <v>851</v>
      </c>
      <c r="B602" s="1">
        <v>45758</v>
      </c>
      <c r="C602" t="s">
        <v>56</v>
      </c>
      <c r="D602" t="s">
        <v>183</v>
      </c>
      <c r="E602" t="s">
        <v>50</v>
      </c>
      <c r="F602" t="s">
        <v>51</v>
      </c>
      <c r="G602" t="s">
        <v>52</v>
      </c>
      <c r="H602" t="s">
        <v>46</v>
      </c>
      <c r="I602" t="s">
        <v>53</v>
      </c>
      <c r="J602">
        <v>6</v>
      </c>
      <c r="K602">
        <v>3200</v>
      </c>
      <c r="L602">
        <v>15</v>
      </c>
      <c r="M602">
        <v>16320</v>
      </c>
      <c r="N602">
        <v>13440</v>
      </c>
      <c r="O602">
        <v>2880</v>
      </c>
      <c r="P602" t="s">
        <v>54</v>
      </c>
      <c r="Q602" t="s">
        <v>33</v>
      </c>
      <c r="R602" t="str">
        <f>TEXT(SalesData[[#This Row],[Order Date]],"mmm")</f>
        <v>Apr</v>
      </c>
      <c r="S602" s="2" t="str">
        <f>"Q"&amp;ROUNDUP(MONTH(SalesData[[#This Row],[Order Date]])/3,0)</f>
        <v>Q2</v>
      </c>
      <c r="T602">
        <f>YEAR(SalesData[[#This Row],[Order Date]])</f>
        <v>2025</v>
      </c>
      <c r="U602">
        <f>SalesData[[#This Row],[Profit]]/SalesData[[#This Row],[Sales]]</f>
        <v>0.17647058823529413</v>
      </c>
    </row>
    <row r="603" spans="1:21" x14ac:dyDescent="0.25">
      <c r="A603" t="s">
        <v>852</v>
      </c>
      <c r="B603" s="1">
        <v>45798</v>
      </c>
      <c r="C603" t="s">
        <v>302</v>
      </c>
      <c r="D603" t="s">
        <v>183</v>
      </c>
      <c r="E603" t="s">
        <v>37</v>
      </c>
      <c r="F603" t="s">
        <v>38</v>
      </c>
      <c r="G603" t="s">
        <v>22</v>
      </c>
      <c r="H603" t="s">
        <v>46</v>
      </c>
      <c r="I603" t="s">
        <v>24</v>
      </c>
      <c r="J603">
        <v>7</v>
      </c>
      <c r="K603">
        <v>55000</v>
      </c>
      <c r="L603">
        <v>20</v>
      </c>
      <c r="M603">
        <v>308000</v>
      </c>
      <c r="N603">
        <v>269500</v>
      </c>
      <c r="O603">
        <v>38500</v>
      </c>
      <c r="P603" t="s">
        <v>54</v>
      </c>
      <c r="Q603" t="s">
        <v>26</v>
      </c>
      <c r="R603" t="str">
        <f>TEXT(SalesData[[#This Row],[Order Date]],"mmm")</f>
        <v>May</v>
      </c>
      <c r="S603" s="2" t="str">
        <f>"Q"&amp;ROUNDUP(MONTH(SalesData[[#This Row],[Order Date]])/3,0)</f>
        <v>Q2</v>
      </c>
      <c r="T603">
        <f>YEAR(SalesData[[#This Row],[Order Date]])</f>
        <v>2025</v>
      </c>
      <c r="U603">
        <f>SalesData[[#This Row],[Profit]]/SalesData[[#This Row],[Sales]]</f>
        <v>0.125</v>
      </c>
    </row>
    <row r="604" spans="1:21" x14ac:dyDescent="0.25">
      <c r="A604" t="s">
        <v>853</v>
      </c>
      <c r="B604" s="1">
        <v>46008</v>
      </c>
      <c r="C604" t="s">
        <v>466</v>
      </c>
      <c r="D604" t="s">
        <v>185</v>
      </c>
      <c r="E604" t="s">
        <v>62</v>
      </c>
      <c r="F604" t="s">
        <v>63</v>
      </c>
      <c r="G604" t="s">
        <v>64</v>
      </c>
      <c r="H604" t="s">
        <v>23</v>
      </c>
      <c r="I604" t="s">
        <v>80</v>
      </c>
      <c r="J604">
        <v>9</v>
      </c>
      <c r="K604">
        <v>8500</v>
      </c>
      <c r="L604">
        <v>0</v>
      </c>
      <c r="M604">
        <v>76500</v>
      </c>
      <c r="N604">
        <v>53550</v>
      </c>
      <c r="O604">
        <v>22950</v>
      </c>
      <c r="P604" t="s">
        <v>54</v>
      </c>
      <c r="Q604" t="s">
        <v>33</v>
      </c>
      <c r="R604" t="str">
        <f>TEXT(SalesData[[#This Row],[Order Date]],"mmm")</f>
        <v>Dec</v>
      </c>
      <c r="S604" s="2" t="str">
        <f>"Q"&amp;ROUNDUP(MONTH(SalesData[[#This Row],[Order Date]])/3,0)</f>
        <v>Q4</v>
      </c>
      <c r="T604">
        <f>YEAR(SalesData[[#This Row],[Order Date]])</f>
        <v>2025</v>
      </c>
      <c r="U604">
        <f>SalesData[[#This Row],[Profit]]/SalesData[[#This Row],[Sales]]</f>
        <v>0.3</v>
      </c>
    </row>
    <row r="605" spans="1:21" x14ac:dyDescent="0.25">
      <c r="A605" t="s">
        <v>854</v>
      </c>
      <c r="B605" s="1">
        <v>46020</v>
      </c>
      <c r="C605" t="s">
        <v>150</v>
      </c>
      <c r="D605" t="s">
        <v>183</v>
      </c>
      <c r="E605" t="s">
        <v>20</v>
      </c>
      <c r="F605" t="s">
        <v>21</v>
      </c>
      <c r="G605" t="s">
        <v>22</v>
      </c>
      <c r="H605" t="s">
        <v>32</v>
      </c>
      <c r="I605" t="s">
        <v>24</v>
      </c>
      <c r="J605">
        <v>9</v>
      </c>
      <c r="K605">
        <v>3500</v>
      </c>
      <c r="L605">
        <v>15</v>
      </c>
      <c r="M605">
        <v>26775</v>
      </c>
      <c r="N605">
        <v>22050</v>
      </c>
      <c r="O605">
        <v>4725</v>
      </c>
      <c r="P605" t="s">
        <v>25</v>
      </c>
      <c r="Q605" t="s">
        <v>76</v>
      </c>
      <c r="R605" t="str">
        <f>TEXT(SalesData[[#This Row],[Order Date]],"mmm")</f>
        <v>Dec</v>
      </c>
      <c r="S605" s="2" t="str">
        <f>"Q"&amp;ROUNDUP(MONTH(SalesData[[#This Row],[Order Date]])/3,0)</f>
        <v>Q4</v>
      </c>
      <c r="T605">
        <f>YEAR(SalesData[[#This Row],[Order Date]])</f>
        <v>2025</v>
      </c>
      <c r="U605">
        <f>SalesData[[#This Row],[Profit]]/SalesData[[#This Row],[Sales]]</f>
        <v>0.17647058823529413</v>
      </c>
    </row>
    <row r="606" spans="1:21" x14ac:dyDescent="0.25">
      <c r="A606" t="s">
        <v>855</v>
      </c>
      <c r="B606" s="1">
        <v>46015</v>
      </c>
      <c r="C606" t="s">
        <v>147</v>
      </c>
      <c r="D606" t="s">
        <v>235</v>
      </c>
      <c r="E606" t="s">
        <v>50</v>
      </c>
      <c r="F606" t="s">
        <v>51</v>
      </c>
      <c r="G606" t="s">
        <v>52</v>
      </c>
      <c r="H606" t="s">
        <v>32</v>
      </c>
      <c r="I606" t="s">
        <v>72</v>
      </c>
      <c r="J606">
        <v>1</v>
      </c>
      <c r="K606">
        <v>3200</v>
      </c>
      <c r="L606">
        <v>10</v>
      </c>
      <c r="M606">
        <v>2880</v>
      </c>
      <c r="N606">
        <v>2240</v>
      </c>
      <c r="O606">
        <v>640</v>
      </c>
      <c r="P606" t="s">
        <v>25</v>
      </c>
      <c r="Q606" t="s">
        <v>33</v>
      </c>
      <c r="R606" t="str">
        <f>TEXT(SalesData[[#This Row],[Order Date]],"mmm")</f>
        <v>Dec</v>
      </c>
      <c r="S606" s="2" t="str">
        <f>"Q"&amp;ROUNDUP(MONTH(SalesData[[#This Row],[Order Date]])/3,0)</f>
        <v>Q4</v>
      </c>
      <c r="T606">
        <f>YEAR(SalesData[[#This Row],[Order Date]])</f>
        <v>2025</v>
      </c>
      <c r="U606">
        <f>SalesData[[#This Row],[Profit]]/SalesData[[#This Row],[Sales]]</f>
        <v>0.22222222222222221</v>
      </c>
    </row>
    <row r="607" spans="1:21" x14ac:dyDescent="0.25">
      <c r="A607" t="s">
        <v>856</v>
      </c>
      <c r="B607" s="1">
        <v>45764</v>
      </c>
      <c r="C607" t="s">
        <v>219</v>
      </c>
      <c r="D607" t="s">
        <v>19</v>
      </c>
      <c r="E607" t="s">
        <v>44</v>
      </c>
      <c r="F607" t="s">
        <v>45</v>
      </c>
      <c r="G607" t="s">
        <v>22</v>
      </c>
      <c r="H607" t="s">
        <v>46</v>
      </c>
      <c r="I607" t="s">
        <v>53</v>
      </c>
      <c r="J607">
        <v>5</v>
      </c>
      <c r="K607">
        <v>9500</v>
      </c>
      <c r="L607">
        <v>5</v>
      </c>
      <c r="M607">
        <v>45125</v>
      </c>
      <c r="N607">
        <v>33250</v>
      </c>
      <c r="O607">
        <v>11875</v>
      </c>
      <c r="P607" t="s">
        <v>54</v>
      </c>
      <c r="Q607" t="s">
        <v>33</v>
      </c>
      <c r="R607" t="str">
        <f>TEXT(SalesData[[#This Row],[Order Date]],"mmm")</f>
        <v>Apr</v>
      </c>
      <c r="S607" s="2" t="str">
        <f>"Q"&amp;ROUNDUP(MONTH(SalesData[[#This Row],[Order Date]])/3,0)</f>
        <v>Q2</v>
      </c>
      <c r="T607">
        <f>YEAR(SalesData[[#This Row],[Order Date]])</f>
        <v>2025</v>
      </c>
      <c r="U607">
        <f>SalesData[[#This Row],[Profit]]/SalesData[[#This Row],[Sales]]</f>
        <v>0.26315789473684209</v>
      </c>
    </row>
    <row r="608" spans="1:21" x14ac:dyDescent="0.25">
      <c r="A608" t="s">
        <v>857</v>
      </c>
      <c r="B608" s="1">
        <v>45845</v>
      </c>
      <c r="C608" t="s">
        <v>159</v>
      </c>
      <c r="D608" t="s">
        <v>240</v>
      </c>
      <c r="E608" t="s">
        <v>50</v>
      </c>
      <c r="F608" t="s">
        <v>51</v>
      </c>
      <c r="G608" t="s">
        <v>52</v>
      </c>
      <c r="H608" t="s">
        <v>46</v>
      </c>
      <c r="I608" t="s">
        <v>24</v>
      </c>
      <c r="J608">
        <v>4</v>
      </c>
      <c r="K608">
        <v>3200</v>
      </c>
      <c r="L608">
        <v>15</v>
      </c>
      <c r="M608">
        <v>10880</v>
      </c>
      <c r="N608">
        <v>8960</v>
      </c>
      <c r="O608">
        <v>1920</v>
      </c>
      <c r="P608" t="s">
        <v>54</v>
      </c>
      <c r="Q608" t="s">
        <v>26</v>
      </c>
      <c r="R608" t="str">
        <f>TEXT(SalesData[[#This Row],[Order Date]],"mmm")</f>
        <v>Jul</v>
      </c>
      <c r="S608" s="2" t="str">
        <f>"Q"&amp;ROUNDUP(MONTH(SalesData[[#This Row],[Order Date]])/3,0)</f>
        <v>Q3</v>
      </c>
      <c r="T608">
        <f>YEAR(SalesData[[#This Row],[Order Date]])</f>
        <v>2025</v>
      </c>
      <c r="U608">
        <f>SalesData[[#This Row],[Profit]]/SalesData[[#This Row],[Sales]]</f>
        <v>0.17647058823529413</v>
      </c>
    </row>
    <row r="609" spans="1:21" x14ac:dyDescent="0.25">
      <c r="A609" t="s">
        <v>858</v>
      </c>
      <c r="B609" s="1">
        <v>45720</v>
      </c>
      <c r="C609" t="s">
        <v>623</v>
      </c>
      <c r="D609" t="s">
        <v>171</v>
      </c>
      <c r="E609" t="s">
        <v>44</v>
      </c>
      <c r="F609" t="s">
        <v>45</v>
      </c>
      <c r="G609" t="s">
        <v>22</v>
      </c>
      <c r="H609" t="s">
        <v>23</v>
      </c>
      <c r="I609" t="s">
        <v>72</v>
      </c>
      <c r="J609">
        <v>9</v>
      </c>
      <c r="K609">
        <v>9500</v>
      </c>
      <c r="L609">
        <v>15</v>
      </c>
      <c r="M609">
        <v>72675</v>
      </c>
      <c r="N609">
        <v>59849.999999999993</v>
      </c>
      <c r="O609">
        <v>12825.000000000009</v>
      </c>
      <c r="P609" t="s">
        <v>58</v>
      </c>
      <c r="Q609" t="s">
        <v>33</v>
      </c>
      <c r="R609" t="str">
        <f>TEXT(SalesData[[#This Row],[Order Date]],"mmm")</f>
        <v>Mar</v>
      </c>
      <c r="S609" s="2" t="str">
        <f>"Q"&amp;ROUNDUP(MONTH(SalesData[[#This Row],[Order Date]])/3,0)</f>
        <v>Q1</v>
      </c>
      <c r="T609">
        <f>YEAR(SalesData[[#This Row],[Order Date]])</f>
        <v>2025</v>
      </c>
      <c r="U609">
        <f>SalesData[[#This Row],[Profit]]/SalesData[[#This Row],[Sales]]</f>
        <v>0.17647058823529424</v>
      </c>
    </row>
    <row r="610" spans="1:21" x14ac:dyDescent="0.25">
      <c r="A610" t="s">
        <v>859</v>
      </c>
      <c r="B610" s="1">
        <v>45951</v>
      </c>
      <c r="C610" t="s">
        <v>613</v>
      </c>
      <c r="D610" t="s">
        <v>606</v>
      </c>
      <c r="E610" t="s">
        <v>20</v>
      </c>
      <c r="F610" t="s">
        <v>21</v>
      </c>
      <c r="G610" t="s">
        <v>22</v>
      </c>
      <c r="H610" t="s">
        <v>65</v>
      </c>
      <c r="I610" t="s">
        <v>24</v>
      </c>
      <c r="J610">
        <v>3</v>
      </c>
      <c r="K610">
        <v>3500</v>
      </c>
      <c r="L610">
        <v>10</v>
      </c>
      <c r="M610">
        <v>9450</v>
      </c>
      <c r="N610">
        <v>7349.9999999999991</v>
      </c>
      <c r="O610">
        <v>2100.0000000000009</v>
      </c>
      <c r="P610" t="s">
        <v>58</v>
      </c>
      <c r="Q610" t="s">
        <v>33</v>
      </c>
      <c r="R610" t="str">
        <f>TEXT(SalesData[[#This Row],[Order Date]],"mmm")</f>
        <v>Oct</v>
      </c>
      <c r="S610" s="2" t="str">
        <f>"Q"&amp;ROUNDUP(MONTH(SalesData[[#This Row],[Order Date]])/3,0)</f>
        <v>Q4</v>
      </c>
      <c r="T610">
        <f>YEAR(SalesData[[#This Row],[Order Date]])</f>
        <v>2025</v>
      </c>
      <c r="U610">
        <f>SalesData[[#This Row],[Profit]]/SalesData[[#This Row],[Sales]]</f>
        <v>0.22222222222222232</v>
      </c>
    </row>
    <row r="611" spans="1:21" x14ac:dyDescent="0.25">
      <c r="A611" t="s">
        <v>860</v>
      </c>
      <c r="B611" s="1">
        <v>45978</v>
      </c>
      <c r="C611" t="s">
        <v>280</v>
      </c>
      <c r="D611" t="s">
        <v>116</v>
      </c>
      <c r="E611" t="s">
        <v>62</v>
      </c>
      <c r="F611" t="s">
        <v>63</v>
      </c>
      <c r="G611" t="s">
        <v>64</v>
      </c>
      <c r="H611" t="s">
        <v>65</v>
      </c>
      <c r="I611" t="s">
        <v>72</v>
      </c>
      <c r="J611">
        <v>6</v>
      </c>
      <c r="K611">
        <v>8500</v>
      </c>
      <c r="L611">
        <v>0</v>
      </c>
      <c r="M611">
        <v>51000</v>
      </c>
      <c r="N611">
        <v>35700</v>
      </c>
      <c r="O611">
        <v>15300</v>
      </c>
      <c r="P611" t="s">
        <v>58</v>
      </c>
      <c r="Q611" t="s">
        <v>76</v>
      </c>
      <c r="R611" t="str">
        <f>TEXT(SalesData[[#This Row],[Order Date]],"mmm")</f>
        <v>Nov</v>
      </c>
      <c r="S611" s="2" t="str">
        <f>"Q"&amp;ROUNDUP(MONTH(SalesData[[#This Row],[Order Date]])/3,0)</f>
        <v>Q4</v>
      </c>
      <c r="T611">
        <f>YEAR(SalesData[[#This Row],[Order Date]])</f>
        <v>2025</v>
      </c>
      <c r="U611">
        <f>SalesData[[#This Row],[Profit]]/SalesData[[#This Row],[Sales]]</f>
        <v>0.3</v>
      </c>
    </row>
    <row r="612" spans="1:21" x14ac:dyDescent="0.25">
      <c r="A612" t="s">
        <v>861</v>
      </c>
      <c r="B612" s="1">
        <v>45959</v>
      </c>
      <c r="C612" t="s">
        <v>85</v>
      </c>
      <c r="D612" t="s">
        <v>258</v>
      </c>
      <c r="E612" t="s">
        <v>30</v>
      </c>
      <c r="F612" t="s">
        <v>31</v>
      </c>
      <c r="G612" t="s">
        <v>22</v>
      </c>
      <c r="H612" t="s">
        <v>46</v>
      </c>
      <c r="I612" t="s">
        <v>39</v>
      </c>
      <c r="J612">
        <v>8</v>
      </c>
      <c r="K612">
        <v>800</v>
      </c>
      <c r="L612">
        <v>0</v>
      </c>
      <c r="M612">
        <v>6400</v>
      </c>
      <c r="N612">
        <v>4480</v>
      </c>
      <c r="O612">
        <v>1920</v>
      </c>
      <c r="P612" t="s">
        <v>40</v>
      </c>
      <c r="Q612" t="s">
        <v>26</v>
      </c>
      <c r="R612" t="str">
        <f>TEXT(SalesData[[#This Row],[Order Date]],"mmm")</f>
        <v>Oct</v>
      </c>
      <c r="S612" s="2" t="str">
        <f>"Q"&amp;ROUNDUP(MONTH(SalesData[[#This Row],[Order Date]])/3,0)</f>
        <v>Q4</v>
      </c>
      <c r="T612">
        <f>YEAR(SalesData[[#This Row],[Order Date]])</f>
        <v>2025</v>
      </c>
      <c r="U612">
        <f>SalesData[[#This Row],[Profit]]/SalesData[[#This Row],[Sales]]</f>
        <v>0.3</v>
      </c>
    </row>
    <row r="613" spans="1:21" x14ac:dyDescent="0.25">
      <c r="A613" t="s">
        <v>862</v>
      </c>
      <c r="B613" s="1">
        <v>45983</v>
      </c>
      <c r="C613" t="s">
        <v>182</v>
      </c>
      <c r="D613" t="s">
        <v>256</v>
      </c>
      <c r="E613" t="s">
        <v>70</v>
      </c>
      <c r="F613" t="s">
        <v>71</v>
      </c>
      <c r="G613" t="s">
        <v>22</v>
      </c>
      <c r="H613" t="s">
        <v>46</v>
      </c>
      <c r="I613" t="s">
        <v>53</v>
      </c>
      <c r="J613">
        <v>10</v>
      </c>
      <c r="K613">
        <v>1500</v>
      </c>
      <c r="L613">
        <v>5</v>
      </c>
      <c r="M613">
        <v>14250</v>
      </c>
      <c r="N613">
        <v>10500</v>
      </c>
      <c r="O613">
        <v>3750</v>
      </c>
      <c r="P613" t="s">
        <v>58</v>
      </c>
      <c r="Q613" t="s">
        <v>76</v>
      </c>
      <c r="R613" t="str">
        <f>TEXT(SalesData[[#This Row],[Order Date]],"mmm")</f>
        <v>Nov</v>
      </c>
      <c r="S613" s="2" t="str">
        <f>"Q"&amp;ROUNDUP(MONTH(SalesData[[#This Row],[Order Date]])/3,0)</f>
        <v>Q4</v>
      </c>
      <c r="T613">
        <f>YEAR(SalesData[[#This Row],[Order Date]])</f>
        <v>2025</v>
      </c>
      <c r="U613">
        <f>SalesData[[#This Row],[Profit]]/SalesData[[#This Row],[Sales]]</f>
        <v>0.26315789473684209</v>
      </c>
    </row>
    <row r="614" spans="1:21" x14ac:dyDescent="0.25">
      <c r="A614" t="s">
        <v>863</v>
      </c>
      <c r="B614" s="1">
        <v>45745</v>
      </c>
      <c r="C614" t="s">
        <v>85</v>
      </c>
      <c r="D614" t="s">
        <v>209</v>
      </c>
      <c r="E614" t="s">
        <v>20</v>
      </c>
      <c r="F614" t="s">
        <v>21</v>
      </c>
      <c r="G614" t="s">
        <v>22</v>
      </c>
      <c r="H614" t="s">
        <v>65</v>
      </c>
      <c r="I614" t="s">
        <v>80</v>
      </c>
      <c r="J614">
        <v>10</v>
      </c>
      <c r="K614">
        <v>3500</v>
      </c>
      <c r="L614">
        <v>20</v>
      </c>
      <c r="M614">
        <v>28000</v>
      </c>
      <c r="N614">
        <v>24500</v>
      </c>
      <c r="O614">
        <v>3500</v>
      </c>
      <c r="P614" t="s">
        <v>54</v>
      </c>
      <c r="Q614" t="s">
        <v>26</v>
      </c>
      <c r="R614" t="str">
        <f>TEXT(SalesData[[#This Row],[Order Date]],"mmm")</f>
        <v>Mar</v>
      </c>
      <c r="S614" s="2" t="str">
        <f>"Q"&amp;ROUNDUP(MONTH(SalesData[[#This Row],[Order Date]])/3,0)</f>
        <v>Q1</v>
      </c>
      <c r="T614">
        <f>YEAR(SalesData[[#This Row],[Order Date]])</f>
        <v>2025</v>
      </c>
      <c r="U614">
        <f>SalesData[[#This Row],[Profit]]/SalesData[[#This Row],[Sales]]</f>
        <v>0.125</v>
      </c>
    </row>
    <row r="615" spans="1:21" x14ac:dyDescent="0.25">
      <c r="A615" t="s">
        <v>864</v>
      </c>
      <c r="B615" s="1">
        <v>46005</v>
      </c>
      <c r="C615" t="s">
        <v>495</v>
      </c>
      <c r="D615" t="s">
        <v>161</v>
      </c>
      <c r="E615" t="s">
        <v>30</v>
      </c>
      <c r="F615" t="s">
        <v>31</v>
      </c>
      <c r="G615" t="s">
        <v>22</v>
      </c>
      <c r="H615" t="s">
        <v>32</v>
      </c>
      <c r="I615" t="s">
        <v>66</v>
      </c>
      <c r="J615">
        <v>10</v>
      </c>
      <c r="K615">
        <v>800</v>
      </c>
      <c r="L615">
        <v>15</v>
      </c>
      <c r="M615">
        <v>6800</v>
      </c>
      <c r="N615">
        <v>5600</v>
      </c>
      <c r="O615">
        <v>1200</v>
      </c>
      <c r="P615" t="s">
        <v>25</v>
      </c>
      <c r="Q615" t="s">
        <v>26</v>
      </c>
      <c r="R615" t="str">
        <f>TEXT(SalesData[[#This Row],[Order Date]],"mmm")</f>
        <v>Dec</v>
      </c>
      <c r="S615" s="2" t="str">
        <f>"Q"&amp;ROUNDUP(MONTH(SalesData[[#This Row],[Order Date]])/3,0)</f>
        <v>Q4</v>
      </c>
      <c r="T615">
        <f>YEAR(SalesData[[#This Row],[Order Date]])</f>
        <v>2025</v>
      </c>
      <c r="U615">
        <f>SalesData[[#This Row],[Profit]]/SalesData[[#This Row],[Sales]]</f>
        <v>0.17647058823529413</v>
      </c>
    </row>
    <row r="616" spans="1:21" x14ac:dyDescent="0.25">
      <c r="A616" t="s">
        <v>865</v>
      </c>
      <c r="B616" s="1">
        <v>45796</v>
      </c>
      <c r="C616" t="s">
        <v>476</v>
      </c>
      <c r="D616" t="s">
        <v>86</v>
      </c>
      <c r="E616" t="s">
        <v>44</v>
      </c>
      <c r="F616" t="s">
        <v>45</v>
      </c>
      <c r="G616" t="s">
        <v>22</v>
      </c>
      <c r="H616" t="s">
        <v>32</v>
      </c>
      <c r="I616" t="s">
        <v>66</v>
      </c>
      <c r="J616">
        <v>10</v>
      </c>
      <c r="K616">
        <v>9500</v>
      </c>
      <c r="L616">
        <v>0</v>
      </c>
      <c r="M616">
        <v>95000</v>
      </c>
      <c r="N616">
        <v>66500</v>
      </c>
      <c r="O616">
        <v>28500</v>
      </c>
      <c r="P616" t="s">
        <v>40</v>
      </c>
      <c r="Q616" t="s">
        <v>33</v>
      </c>
      <c r="R616" t="str">
        <f>TEXT(SalesData[[#This Row],[Order Date]],"mmm")</f>
        <v>May</v>
      </c>
      <c r="S616" s="2" t="str">
        <f>"Q"&amp;ROUNDUP(MONTH(SalesData[[#This Row],[Order Date]])/3,0)</f>
        <v>Q2</v>
      </c>
      <c r="T616">
        <f>YEAR(SalesData[[#This Row],[Order Date]])</f>
        <v>2025</v>
      </c>
      <c r="U616">
        <f>SalesData[[#This Row],[Profit]]/SalesData[[#This Row],[Sales]]</f>
        <v>0.3</v>
      </c>
    </row>
    <row r="617" spans="1:21" x14ac:dyDescent="0.25">
      <c r="A617" t="s">
        <v>866</v>
      </c>
      <c r="B617" s="1">
        <v>45873</v>
      </c>
      <c r="C617" t="s">
        <v>141</v>
      </c>
      <c r="D617" t="s">
        <v>75</v>
      </c>
      <c r="E617" t="s">
        <v>70</v>
      </c>
      <c r="F617" t="s">
        <v>71</v>
      </c>
      <c r="G617" t="s">
        <v>22</v>
      </c>
      <c r="H617" t="s">
        <v>32</v>
      </c>
      <c r="I617" t="s">
        <v>24</v>
      </c>
      <c r="J617">
        <v>8</v>
      </c>
      <c r="K617">
        <v>1500</v>
      </c>
      <c r="L617">
        <v>5</v>
      </c>
      <c r="M617">
        <v>11400</v>
      </c>
      <c r="N617">
        <v>8400</v>
      </c>
      <c r="O617">
        <v>3000</v>
      </c>
      <c r="P617" t="s">
        <v>25</v>
      </c>
      <c r="Q617" t="s">
        <v>76</v>
      </c>
      <c r="R617" t="str">
        <f>TEXT(SalesData[[#This Row],[Order Date]],"mmm")</f>
        <v>Aug</v>
      </c>
      <c r="S617" s="2" t="str">
        <f>"Q"&amp;ROUNDUP(MONTH(SalesData[[#This Row],[Order Date]])/3,0)</f>
        <v>Q3</v>
      </c>
      <c r="T617">
        <f>YEAR(SalesData[[#This Row],[Order Date]])</f>
        <v>2025</v>
      </c>
      <c r="U617">
        <f>SalesData[[#This Row],[Profit]]/SalesData[[#This Row],[Sales]]</f>
        <v>0.26315789473684209</v>
      </c>
    </row>
    <row r="618" spans="1:21" x14ac:dyDescent="0.25">
      <c r="A618" t="s">
        <v>867</v>
      </c>
      <c r="B618" s="1">
        <v>45962</v>
      </c>
      <c r="C618" t="s">
        <v>226</v>
      </c>
      <c r="D618" t="s">
        <v>61</v>
      </c>
      <c r="E618" t="s">
        <v>30</v>
      </c>
      <c r="F618" t="s">
        <v>31</v>
      </c>
      <c r="G618" t="s">
        <v>22</v>
      </c>
      <c r="H618" t="s">
        <v>65</v>
      </c>
      <c r="I618" t="s">
        <v>72</v>
      </c>
      <c r="J618">
        <v>4</v>
      </c>
      <c r="K618">
        <v>800</v>
      </c>
      <c r="L618">
        <v>5</v>
      </c>
      <c r="M618">
        <v>3040</v>
      </c>
      <c r="N618">
        <v>2240</v>
      </c>
      <c r="O618">
        <v>800</v>
      </c>
      <c r="P618" t="s">
        <v>54</v>
      </c>
      <c r="Q618" t="s">
        <v>76</v>
      </c>
      <c r="R618" t="str">
        <f>TEXT(SalesData[[#This Row],[Order Date]],"mmm")</f>
        <v>Nov</v>
      </c>
      <c r="S618" s="2" t="str">
        <f>"Q"&amp;ROUNDUP(MONTH(SalesData[[#This Row],[Order Date]])/3,0)</f>
        <v>Q4</v>
      </c>
      <c r="T618">
        <f>YEAR(SalesData[[#This Row],[Order Date]])</f>
        <v>2025</v>
      </c>
      <c r="U618">
        <f>SalesData[[#This Row],[Profit]]/SalesData[[#This Row],[Sales]]</f>
        <v>0.26315789473684209</v>
      </c>
    </row>
    <row r="619" spans="1:21" x14ac:dyDescent="0.25">
      <c r="A619" t="s">
        <v>868</v>
      </c>
      <c r="B619" s="1">
        <v>45940</v>
      </c>
      <c r="C619" t="s">
        <v>332</v>
      </c>
      <c r="D619" t="s">
        <v>43</v>
      </c>
      <c r="E619" t="s">
        <v>62</v>
      </c>
      <c r="F619" t="s">
        <v>63</v>
      </c>
      <c r="G619" t="s">
        <v>64</v>
      </c>
      <c r="H619" t="s">
        <v>65</v>
      </c>
      <c r="I619" t="s">
        <v>80</v>
      </c>
      <c r="J619">
        <v>6</v>
      </c>
      <c r="K619">
        <v>8500</v>
      </c>
      <c r="L619">
        <v>5</v>
      </c>
      <c r="M619">
        <v>48450</v>
      </c>
      <c r="N619">
        <v>35700</v>
      </c>
      <c r="O619">
        <v>12750</v>
      </c>
      <c r="P619" t="s">
        <v>25</v>
      </c>
      <c r="Q619" t="s">
        <v>33</v>
      </c>
      <c r="R619" t="str">
        <f>TEXT(SalesData[[#This Row],[Order Date]],"mmm")</f>
        <v>Oct</v>
      </c>
      <c r="S619" s="2" t="str">
        <f>"Q"&amp;ROUNDUP(MONTH(SalesData[[#This Row],[Order Date]])/3,0)</f>
        <v>Q4</v>
      </c>
      <c r="T619">
        <f>YEAR(SalesData[[#This Row],[Order Date]])</f>
        <v>2025</v>
      </c>
      <c r="U619">
        <f>SalesData[[#This Row],[Profit]]/SalesData[[#This Row],[Sales]]</f>
        <v>0.26315789473684209</v>
      </c>
    </row>
    <row r="620" spans="1:21" x14ac:dyDescent="0.25">
      <c r="A620" t="s">
        <v>869</v>
      </c>
      <c r="B620" s="1">
        <v>46018</v>
      </c>
      <c r="C620" t="s">
        <v>232</v>
      </c>
      <c r="D620" t="s">
        <v>188</v>
      </c>
      <c r="E620" t="s">
        <v>62</v>
      </c>
      <c r="F620" t="s">
        <v>63</v>
      </c>
      <c r="G620" t="s">
        <v>64</v>
      </c>
      <c r="H620" t="s">
        <v>23</v>
      </c>
      <c r="I620" t="s">
        <v>24</v>
      </c>
      <c r="J620">
        <v>7</v>
      </c>
      <c r="K620">
        <v>8500</v>
      </c>
      <c r="L620">
        <v>0</v>
      </c>
      <c r="M620">
        <v>59500</v>
      </c>
      <c r="N620">
        <v>41650</v>
      </c>
      <c r="O620">
        <v>17850</v>
      </c>
      <c r="P620" t="s">
        <v>40</v>
      </c>
      <c r="Q620" t="s">
        <v>33</v>
      </c>
      <c r="R620" t="str">
        <f>TEXT(SalesData[[#This Row],[Order Date]],"mmm")</f>
        <v>Dec</v>
      </c>
      <c r="S620" s="2" t="str">
        <f>"Q"&amp;ROUNDUP(MONTH(SalesData[[#This Row],[Order Date]])/3,0)</f>
        <v>Q4</v>
      </c>
      <c r="T620">
        <f>YEAR(SalesData[[#This Row],[Order Date]])</f>
        <v>2025</v>
      </c>
      <c r="U620">
        <f>SalesData[[#This Row],[Profit]]/SalesData[[#This Row],[Sales]]</f>
        <v>0.3</v>
      </c>
    </row>
    <row r="621" spans="1:21" x14ac:dyDescent="0.25">
      <c r="A621" t="s">
        <v>870</v>
      </c>
      <c r="B621" s="1">
        <v>45816</v>
      </c>
      <c r="C621" t="s">
        <v>234</v>
      </c>
      <c r="D621" t="s">
        <v>278</v>
      </c>
      <c r="E621" t="s">
        <v>62</v>
      </c>
      <c r="F621" t="s">
        <v>63</v>
      </c>
      <c r="G621" t="s">
        <v>64</v>
      </c>
      <c r="H621" t="s">
        <v>65</v>
      </c>
      <c r="I621" t="s">
        <v>66</v>
      </c>
      <c r="J621">
        <v>1</v>
      </c>
      <c r="K621">
        <v>8500</v>
      </c>
      <c r="L621">
        <v>20</v>
      </c>
      <c r="M621">
        <v>6800</v>
      </c>
      <c r="N621">
        <v>5950</v>
      </c>
      <c r="O621">
        <v>850</v>
      </c>
      <c r="P621" t="s">
        <v>54</v>
      </c>
      <c r="Q621" t="s">
        <v>33</v>
      </c>
      <c r="R621" t="str">
        <f>TEXT(SalesData[[#This Row],[Order Date]],"mmm")</f>
        <v>Jun</v>
      </c>
      <c r="S621" s="2" t="str">
        <f>"Q"&amp;ROUNDUP(MONTH(SalesData[[#This Row],[Order Date]])/3,0)</f>
        <v>Q2</v>
      </c>
      <c r="T621">
        <f>YEAR(SalesData[[#This Row],[Order Date]])</f>
        <v>2025</v>
      </c>
      <c r="U621">
        <f>SalesData[[#This Row],[Profit]]/SalesData[[#This Row],[Sales]]</f>
        <v>0.125</v>
      </c>
    </row>
    <row r="622" spans="1:21" x14ac:dyDescent="0.25">
      <c r="A622" t="s">
        <v>871</v>
      </c>
      <c r="B622" s="1">
        <v>46004</v>
      </c>
      <c r="C622" t="s">
        <v>469</v>
      </c>
      <c r="D622" t="s">
        <v>336</v>
      </c>
      <c r="E622" t="s">
        <v>20</v>
      </c>
      <c r="F622" t="s">
        <v>21</v>
      </c>
      <c r="G622" t="s">
        <v>22</v>
      </c>
      <c r="H622" t="s">
        <v>32</v>
      </c>
      <c r="I622" t="s">
        <v>53</v>
      </c>
      <c r="J622">
        <v>9</v>
      </c>
      <c r="K622">
        <v>3500</v>
      </c>
      <c r="L622">
        <v>10</v>
      </c>
      <c r="M622">
        <v>28350</v>
      </c>
      <c r="N622">
        <v>22050</v>
      </c>
      <c r="O622">
        <v>6300</v>
      </c>
      <c r="P622" t="s">
        <v>58</v>
      </c>
      <c r="Q622" t="s">
        <v>33</v>
      </c>
      <c r="R622" t="str">
        <f>TEXT(SalesData[[#This Row],[Order Date]],"mmm")</f>
        <v>Dec</v>
      </c>
      <c r="S622" s="2" t="str">
        <f>"Q"&amp;ROUNDUP(MONTH(SalesData[[#This Row],[Order Date]])/3,0)</f>
        <v>Q4</v>
      </c>
      <c r="T622">
        <f>YEAR(SalesData[[#This Row],[Order Date]])</f>
        <v>2025</v>
      </c>
      <c r="U622">
        <f>SalesData[[#This Row],[Profit]]/SalesData[[#This Row],[Sales]]</f>
        <v>0.22222222222222221</v>
      </c>
    </row>
    <row r="623" spans="1:21" x14ac:dyDescent="0.25">
      <c r="A623" t="s">
        <v>872</v>
      </c>
      <c r="B623" s="1">
        <v>45841</v>
      </c>
      <c r="C623" t="s">
        <v>82</v>
      </c>
      <c r="D623" t="s">
        <v>209</v>
      </c>
      <c r="E623" t="s">
        <v>30</v>
      </c>
      <c r="F623" t="s">
        <v>31</v>
      </c>
      <c r="G623" t="s">
        <v>22</v>
      </c>
      <c r="H623" t="s">
        <v>65</v>
      </c>
      <c r="I623" t="s">
        <v>24</v>
      </c>
      <c r="J623">
        <v>3</v>
      </c>
      <c r="K623">
        <v>800</v>
      </c>
      <c r="L623">
        <v>5</v>
      </c>
      <c r="M623">
        <v>2280</v>
      </c>
      <c r="N623">
        <v>1680</v>
      </c>
      <c r="O623">
        <v>600</v>
      </c>
      <c r="P623" t="s">
        <v>25</v>
      </c>
      <c r="Q623" t="s">
        <v>33</v>
      </c>
      <c r="R623" t="str">
        <f>TEXT(SalesData[[#This Row],[Order Date]],"mmm")</f>
        <v>Jul</v>
      </c>
      <c r="S623" s="2" t="str">
        <f>"Q"&amp;ROUNDUP(MONTH(SalesData[[#This Row],[Order Date]])/3,0)</f>
        <v>Q3</v>
      </c>
      <c r="T623">
        <f>YEAR(SalesData[[#This Row],[Order Date]])</f>
        <v>2025</v>
      </c>
      <c r="U623">
        <f>SalesData[[#This Row],[Profit]]/SalesData[[#This Row],[Sales]]</f>
        <v>0.26315789473684209</v>
      </c>
    </row>
    <row r="624" spans="1:21" x14ac:dyDescent="0.25">
      <c r="A624" t="s">
        <v>873</v>
      </c>
      <c r="B624" s="1">
        <v>45682</v>
      </c>
      <c r="C624" t="s">
        <v>157</v>
      </c>
      <c r="D624" t="s">
        <v>874</v>
      </c>
      <c r="E624" t="s">
        <v>30</v>
      </c>
      <c r="F624" t="s">
        <v>31</v>
      </c>
      <c r="G624" t="s">
        <v>22</v>
      </c>
      <c r="H624" t="s">
        <v>65</v>
      </c>
      <c r="I624" t="s">
        <v>24</v>
      </c>
      <c r="J624">
        <v>1</v>
      </c>
      <c r="K624">
        <v>800</v>
      </c>
      <c r="L624">
        <v>15</v>
      </c>
      <c r="M624">
        <v>680</v>
      </c>
      <c r="N624">
        <v>560</v>
      </c>
      <c r="O624">
        <v>120</v>
      </c>
      <c r="P624" t="s">
        <v>54</v>
      </c>
      <c r="Q624" t="s">
        <v>26</v>
      </c>
      <c r="R624" t="str">
        <f>TEXT(SalesData[[#This Row],[Order Date]],"mmm")</f>
        <v>Jan</v>
      </c>
      <c r="S624" s="2" t="str">
        <f>"Q"&amp;ROUNDUP(MONTH(SalesData[[#This Row],[Order Date]])/3,0)</f>
        <v>Q1</v>
      </c>
      <c r="T624">
        <f>YEAR(SalesData[[#This Row],[Order Date]])</f>
        <v>2025</v>
      </c>
      <c r="U624">
        <f>SalesData[[#This Row],[Profit]]/SalesData[[#This Row],[Sales]]</f>
        <v>0.17647058823529413</v>
      </c>
    </row>
    <row r="625" spans="1:21" x14ac:dyDescent="0.25">
      <c r="A625" t="s">
        <v>875</v>
      </c>
      <c r="B625" s="1">
        <v>45969</v>
      </c>
      <c r="C625" t="s">
        <v>203</v>
      </c>
      <c r="D625" t="s">
        <v>350</v>
      </c>
      <c r="E625" t="s">
        <v>37</v>
      </c>
      <c r="F625" t="s">
        <v>38</v>
      </c>
      <c r="G625" t="s">
        <v>22</v>
      </c>
      <c r="H625" t="s">
        <v>65</v>
      </c>
      <c r="I625" t="s">
        <v>66</v>
      </c>
      <c r="J625">
        <v>4</v>
      </c>
      <c r="K625">
        <v>55000</v>
      </c>
      <c r="L625">
        <v>15</v>
      </c>
      <c r="M625">
        <v>187000</v>
      </c>
      <c r="N625">
        <v>154000</v>
      </c>
      <c r="O625">
        <v>33000</v>
      </c>
      <c r="P625" t="s">
        <v>40</v>
      </c>
      <c r="Q625" t="s">
        <v>26</v>
      </c>
      <c r="R625" t="str">
        <f>TEXT(SalesData[[#This Row],[Order Date]],"mmm")</f>
        <v>Nov</v>
      </c>
      <c r="S625" s="2" t="str">
        <f>"Q"&amp;ROUNDUP(MONTH(SalesData[[#This Row],[Order Date]])/3,0)</f>
        <v>Q4</v>
      </c>
      <c r="T625">
        <f>YEAR(SalesData[[#This Row],[Order Date]])</f>
        <v>2025</v>
      </c>
      <c r="U625">
        <f>SalesData[[#This Row],[Profit]]/SalesData[[#This Row],[Sales]]</f>
        <v>0.17647058823529413</v>
      </c>
    </row>
    <row r="626" spans="1:21" x14ac:dyDescent="0.25">
      <c r="A626" t="s">
        <v>876</v>
      </c>
      <c r="B626" s="1">
        <v>45822</v>
      </c>
      <c r="C626" t="s">
        <v>334</v>
      </c>
      <c r="D626" t="s">
        <v>61</v>
      </c>
      <c r="E626" t="s">
        <v>37</v>
      </c>
      <c r="F626" t="s">
        <v>38</v>
      </c>
      <c r="G626" t="s">
        <v>22</v>
      </c>
      <c r="H626" t="s">
        <v>65</v>
      </c>
      <c r="I626" t="s">
        <v>39</v>
      </c>
      <c r="J626">
        <v>10</v>
      </c>
      <c r="K626">
        <v>55000</v>
      </c>
      <c r="L626">
        <v>10</v>
      </c>
      <c r="M626">
        <v>495000</v>
      </c>
      <c r="N626">
        <v>385000</v>
      </c>
      <c r="O626">
        <v>110000</v>
      </c>
      <c r="P626" t="s">
        <v>25</v>
      </c>
      <c r="Q626" t="s">
        <v>33</v>
      </c>
      <c r="R626" t="str">
        <f>TEXT(SalesData[[#This Row],[Order Date]],"mmm")</f>
        <v>Jun</v>
      </c>
      <c r="S626" s="2" t="str">
        <f>"Q"&amp;ROUNDUP(MONTH(SalesData[[#This Row],[Order Date]])/3,0)</f>
        <v>Q2</v>
      </c>
      <c r="T626">
        <f>YEAR(SalesData[[#This Row],[Order Date]])</f>
        <v>2025</v>
      </c>
      <c r="U626">
        <f>SalesData[[#This Row],[Profit]]/SalesData[[#This Row],[Sales]]</f>
        <v>0.22222222222222221</v>
      </c>
    </row>
    <row r="627" spans="1:21" x14ac:dyDescent="0.25">
      <c r="A627" t="s">
        <v>877</v>
      </c>
      <c r="B627" s="1">
        <v>45710</v>
      </c>
      <c r="C627" t="s">
        <v>121</v>
      </c>
      <c r="D627" t="s">
        <v>320</v>
      </c>
      <c r="E627" t="s">
        <v>37</v>
      </c>
      <c r="F627" t="s">
        <v>38</v>
      </c>
      <c r="G627" t="s">
        <v>22</v>
      </c>
      <c r="H627" t="s">
        <v>65</v>
      </c>
      <c r="I627" t="s">
        <v>24</v>
      </c>
      <c r="J627">
        <v>1</v>
      </c>
      <c r="K627">
        <v>55000</v>
      </c>
      <c r="L627">
        <v>20</v>
      </c>
      <c r="M627">
        <v>44000</v>
      </c>
      <c r="N627">
        <v>38500</v>
      </c>
      <c r="O627">
        <v>5500</v>
      </c>
      <c r="P627" t="s">
        <v>25</v>
      </c>
      <c r="Q627" t="s">
        <v>33</v>
      </c>
      <c r="R627" t="str">
        <f>TEXT(SalesData[[#This Row],[Order Date]],"mmm")</f>
        <v>Feb</v>
      </c>
      <c r="S627" s="2" t="str">
        <f>"Q"&amp;ROUNDUP(MONTH(SalesData[[#This Row],[Order Date]])/3,0)</f>
        <v>Q1</v>
      </c>
      <c r="T627">
        <f>YEAR(SalesData[[#This Row],[Order Date]])</f>
        <v>2025</v>
      </c>
      <c r="U627">
        <f>SalesData[[#This Row],[Profit]]/SalesData[[#This Row],[Sales]]</f>
        <v>0.125</v>
      </c>
    </row>
    <row r="628" spans="1:21" x14ac:dyDescent="0.25">
      <c r="A628" t="s">
        <v>878</v>
      </c>
      <c r="B628" s="1">
        <v>45818</v>
      </c>
      <c r="C628" t="s">
        <v>246</v>
      </c>
      <c r="D628" t="s">
        <v>100</v>
      </c>
      <c r="E628" t="s">
        <v>30</v>
      </c>
      <c r="F628" t="s">
        <v>31</v>
      </c>
      <c r="G628" t="s">
        <v>22</v>
      </c>
      <c r="H628" t="s">
        <v>46</v>
      </c>
      <c r="I628" t="s">
        <v>72</v>
      </c>
      <c r="J628">
        <v>10</v>
      </c>
      <c r="K628">
        <v>800</v>
      </c>
      <c r="L628">
        <v>15</v>
      </c>
      <c r="M628">
        <v>6800</v>
      </c>
      <c r="N628">
        <v>5600</v>
      </c>
      <c r="O628">
        <v>1200</v>
      </c>
      <c r="P628" t="s">
        <v>58</v>
      </c>
      <c r="Q628" t="s">
        <v>26</v>
      </c>
      <c r="R628" t="str">
        <f>TEXT(SalesData[[#This Row],[Order Date]],"mmm")</f>
        <v>Jun</v>
      </c>
      <c r="S628" s="2" t="str">
        <f>"Q"&amp;ROUNDUP(MONTH(SalesData[[#This Row],[Order Date]])/3,0)</f>
        <v>Q2</v>
      </c>
      <c r="T628">
        <f>YEAR(SalesData[[#This Row],[Order Date]])</f>
        <v>2025</v>
      </c>
      <c r="U628">
        <f>SalesData[[#This Row],[Profit]]/SalesData[[#This Row],[Sales]]</f>
        <v>0.17647058823529413</v>
      </c>
    </row>
    <row r="629" spans="1:21" x14ac:dyDescent="0.25">
      <c r="A629" t="s">
        <v>879</v>
      </c>
      <c r="B629" s="1">
        <v>45950</v>
      </c>
      <c r="C629" t="s">
        <v>469</v>
      </c>
      <c r="D629" t="s">
        <v>317</v>
      </c>
      <c r="E629" t="s">
        <v>70</v>
      </c>
      <c r="F629" t="s">
        <v>71</v>
      </c>
      <c r="G629" t="s">
        <v>22</v>
      </c>
      <c r="H629" t="s">
        <v>32</v>
      </c>
      <c r="I629" t="s">
        <v>39</v>
      </c>
      <c r="J629">
        <v>2</v>
      </c>
      <c r="K629">
        <v>1500</v>
      </c>
      <c r="L629">
        <v>10</v>
      </c>
      <c r="M629">
        <v>2700</v>
      </c>
      <c r="N629">
        <v>2100</v>
      </c>
      <c r="O629">
        <v>600</v>
      </c>
      <c r="P629" t="s">
        <v>54</v>
      </c>
      <c r="Q629" t="s">
        <v>76</v>
      </c>
      <c r="R629" t="str">
        <f>TEXT(SalesData[[#This Row],[Order Date]],"mmm")</f>
        <v>Oct</v>
      </c>
      <c r="S629" s="2" t="str">
        <f>"Q"&amp;ROUNDUP(MONTH(SalesData[[#This Row],[Order Date]])/3,0)</f>
        <v>Q4</v>
      </c>
      <c r="T629">
        <f>YEAR(SalesData[[#This Row],[Order Date]])</f>
        <v>2025</v>
      </c>
      <c r="U629">
        <f>SalesData[[#This Row],[Profit]]/SalesData[[#This Row],[Sales]]</f>
        <v>0.22222222222222221</v>
      </c>
    </row>
    <row r="630" spans="1:21" x14ac:dyDescent="0.25">
      <c r="A630" t="s">
        <v>880</v>
      </c>
      <c r="B630" s="1">
        <v>45817</v>
      </c>
      <c r="C630" t="s">
        <v>168</v>
      </c>
      <c r="D630" t="s">
        <v>408</v>
      </c>
      <c r="E630" t="s">
        <v>30</v>
      </c>
      <c r="F630" t="s">
        <v>31</v>
      </c>
      <c r="G630" t="s">
        <v>22</v>
      </c>
      <c r="H630" t="s">
        <v>65</v>
      </c>
      <c r="I630" t="s">
        <v>39</v>
      </c>
      <c r="J630">
        <v>8</v>
      </c>
      <c r="K630">
        <v>800</v>
      </c>
      <c r="L630">
        <v>5</v>
      </c>
      <c r="M630">
        <v>6080</v>
      </c>
      <c r="N630">
        <v>4480</v>
      </c>
      <c r="O630">
        <v>1600</v>
      </c>
      <c r="P630" t="s">
        <v>58</v>
      </c>
      <c r="Q630" t="s">
        <v>76</v>
      </c>
      <c r="R630" t="str">
        <f>TEXT(SalesData[[#This Row],[Order Date]],"mmm")</f>
        <v>Jun</v>
      </c>
      <c r="S630" s="2" t="str">
        <f>"Q"&amp;ROUNDUP(MONTH(SalesData[[#This Row],[Order Date]])/3,0)</f>
        <v>Q2</v>
      </c>
      <c r="T630">
        <f>YEAR(SalesData[[#This Row],[Order Date]])</f>
        <v>2025</v>
      </c>
      <c r="U630">
        <f>SalesData[[#This Row],[Profit]]/SalesData[[#This Row],[Sales]]</f>
        <v>0.26315789473684209</v>
      </c>
    </row>
    <row r="631" spans="1:21" x14ac:dyDescent="0.25">
      <c r="A631" t="s">
        <v>881</v>
      </c>
      <c r="B631" s="1">
        <v>45847</v>
      </c>
      <c r="C631" t="s">
        <v>105</v>
      </c>
      <c r="D631" t="s">
        <v>420</v>
      </c>
      <c r="E631" t="s">
        <v>37</v>
      </c>
      <c r="F631" t="s">
        <v>38</v>
      </c>
      <c r="G631" t="s">
        <v>22</v>
      </c>
      <c r="H631" t="s">
        <v>65</v>
      </c>
      <c r="I631" t="s">
        <v>80</v>
      </c>
      <c r="J631">
        <v>2</v>
      </c>
      <c r="K631">
        <v>55000</v>
      </c>
      <c r="L631">
        <v>5</v>
      </c>
      <c r="M631">
        <v>104500</v>
      </c>
      <c r="N631">
        <v>77000</v>
      </c>
      <c r="O631">
        <v>27500</v>
      </c>
      <c r="P631" t="s">
        <v>40</v>
      </c>
      <c r="Q631" t="s">
        <v>33</v>
      </c>
      <c r="R631" t="str">
        <f>TEXT(SalesData[[#This Row],[Order Date]],"mmm")</f>
        <v>Jul</v>
      </c>
      <c r="S631" s="2" t="str">
        <f>"Q"&amp;ROUNDUP(MONTH(SalesData[[#This Row],[Order Date]])/3,0)</f>
        <v>Q3</v>
      </c>
      <c r="T631">
        <f>YEAR(SalesData[[#This Row],[Order Date]])</f>
        <v>2025</v>
      </c>
      <c r="U631">
        <f>SalesData[[#This Row],[Profit]]/SalesData[[#This Row],[Sales]]</f>
        <v>0.26315789473684209</v>
      </c>
    </row>
    <row r="632" spans="1:21" x14ac:dyDescent="0.25">
      <c r="A632" t="s">
        <v>882</v>
      </c>
      <c r="B632" s="1">
        <v>45920</v>
      </c>
      <c r="C632" t="s">
        <v>123</v>
      </c>
      <c r="D632" t="s">
        <v>224</v>
      </c>
      <c r="E632" t="s">
        <v>93</v>
      </c>
      <c r="F632" t="s">
        <v>94</v>
      </c>
      <c r="G632" t="s">
        <v>64</v>
      </c>
      <c r="H632" t="s">
        <v>23</v>
      </c>
      <c r="I632" t="s">
        <v>24</v>
      </c>
      <c r="J632">
        <v>3</v>
      </c>
      <c r="K632">
        <v>4500</v>
      </c>
      <c r="L632">
        <v>5</v>
      </c>
      <c r="M632">
        <v>12825</v>
      </c>
      <c r="N632">
        <v>9450</v>
      </c>
      <c r="O632">
        <v>3375</v>
      </c>
      <c r="P632" t="s">
        <v>54</v>
      </c>
      <c r="Q632" t="s">
        <v>76</v>
      </c>
      <c r="R632" t="str">
        <f>TEXT(SalesData[[#This Row],[Order Date]],"mmm")</f>
        <v>Sep</v>
      </c>
      <c r="S632" s="2" t="str">
        <f>"Q"&amp;ROUNDUP(MONTH(SalesData[[#This Row],[Order Date]])/3,0)</f>
        <v>Q3</v>
      </c>
      <c r="T632">
        <f>YEAR(SalesData[[#This Row],[Order Date]])</f>
        <v>2025</v>
      </c>
      <c r="U632">
        <f>SalesData[[#This Row],[Profit]]/SalesData[[#This Row],[Sales]]</f>
        <v>0.26315789473684209</v>
      </c>
    </row>
    <row r="633" spans="1:21" x14ac:dyDescent="0.25">
      <c r="A633" t="s">
        <v>883</v>
      </c>
      <c r="B633" s="1">
        <v>45992</v>
      </c>
      <c r="C633" t="s">
        <v>613</v>
      </c>
      <c r="D633" t="s">
        <v>171</v>
      </c>
      <c r="E633" t="s">
        <v>20</v>
      </c>
      <c r="F633" t="s">
        <v>21</v>
      </c>
      <c r="G633" t="s">
        <v>22</v>
      </c>
      <c r="H633" t="s">
        <v>32</v>
      </c>
      <c r="I633" t="s">
        <v>24</v>
      </c>
      <c r="J633">
        <v>1</v>
      </c>
      <c r="K633">
        <v>3500</v>
      </c>
      <c r="L633">
        <v>0</v>
      </c>
      <c r="M633">
        <v>3500</v>
      </c>
      <c r="N633">
        <v>2450</v>
      </c>
      <c r="O633">
        <v>1050</v>
      </c>
      <c r="P633" t="s">
        <v>54</v>
      </c>
      <c r="Q633" t="s">
        <v>26</v>
      </c>
      <c r="R633" t="str">
        <f>TEXT(SalesData[[#This Row],[Order Date]],"mmm")</f>
        <v>Dec</v>
      </c>
      <c r="S633" s="2" t="str">
        <f>"Q"&amp;ROUNDUP(MONTH(SalesData[[#This Row],[Order Date]])/3,0)</f>
        <v>Q4</v>
      </c>
      <c r="T633">
        <f>YEAR(SalesData[[#This Row],[Order Date]])</f>
        <v>2025</v>
      </c>
      <c r="U633">
        <f>SalesData[[#This Row],[Profit]]/SalesData[[#This Row],[Sales]]</f>
        <v>0.3</v>
      </c>
    </row>
    <row r="634" spans="1:21" x14ac:dyDescent="0.25">
      <c r="A634" t="s">
        <v>884</v>
      </c>
      <c r="B634" s="1">
        <v>45879</v>
      </c>
      <c r="C634" t="s">
        <v>325</v>
      </c>
      <c r="D634" t="s">
        <v>420</v>
      </c>
      <c r="E634" t="s">
        <v>62</v>
      </c>
      <c r="F634" t="s">
        <v>63</v>
      </c>
      <c r="G634" t="s">
        <v>64</v>
      </c>
      <c r="H634" t="s">
        <v>32</v>
      </c>
      <c r="I634" t="s">
        <v>24</v>
      </c>
      <c r="J634">
        <v>10</v>
      </c>
      <c r="K634">
        <v>8500</v>
      </c>
      <c r="L634">
        <v>10</v>
      </c>
      <c r="M634">
        <v>76500</v>
      </c>
      <c r="N634">
        <v>59499.999999999993</v>
      </c>
      <c r="O634">
        <v>17000.000000000011</v>
      </c>
      <c r="P634" t="s">
        <v>54</v>
      </c>
      <c r="Q634" t="s">
        <v>26</v>
      </c>
      <c r="R634" t="str">
        <f>TEXT(SalesData[[#This Row],[Order Date]],"mmm")</f>
        <v>Aug</v>
      </c>
      <c r="S634" s="2" t="str">
        <f>"Q"&amp;ROUNDUP(MONTH(SalesData[[#This Row],[Order Date]])/3,0)</f>
        <v>Q3</v>
      </c>
      <c r="T634">
        <f>YEAR(SalesData[[#This Row],[Order Date]])</f>
        <v>2025</v>
      </c>
      <c r="U634">
        <f>SalesData[[#This Row],[Profit]]/SalesData[[#This Row],[Sales]]</f>
        <v>0.22222222222222238</v>
      </c>
    </row>
    <row r="635" spans="1:21" x14ac:dyDescent="0.25">
      <c r="A635" t="s">
        <v>885</v>
      </c>
      <c r="B635" s="1">
        <v>45819</v>
      </c>
      <c r="C635" t="s">
        <v>442</v>
      </c>
      <c r="D635" t="s">
        <v>377</v>
      </c>
      <c r="E635" t="s">
        <v>44</v>
      </c>
      <c r="F635" t="s">
        <v>45</v>
      </c>
      <c r="G635" t="s">
        <v>22</v>
      </c>
      <c r="H635" t="s">
        <v>32</v>
      </c>
      <c r="I635" t="s">
        <v>80</v>
      </c>
      <c r="J635">
        <v>2</v>
      </c>
      <c r="K635">
        <v>9500</v>
      </c>
      <c r="L635">
        <v>10</v>
      </c>
      <c r="M635">
        <v>17100</v>
      </c>
      <c r="N635">
        <v>13300</v>
      </c>
      <c r="O635">
        <v>3800</v>
      </c>
      <c r="P635" t="s">
        <v>54</v>
      </c>
      <c r="Q635" t="s">
        <v>26</v>
      </c>
      <c r="R635" t="str">
        <f>TEXT(SalesData[[#This Row],[Order Date]],"mmm")</f>
        <v>Jun</v>
      </c>
      <c r="S635" s="2" t="str">
        <f>"Q"&amp;ROUNDUP(MONTH(SalesData[[#This Row],[Order Date]])/3,0)</f>
        <v>Q2</v>
      </c>
      <c r="T635">
        <f>YEAR(SalesData[[#This Row],[Order Date]])</f>
        <v>2025</v>
      </c>
      <c r="U635">
        <f>SalesData[[#This Row],[Profit]]/SalesData[[#This Row],[Sales]]</f>
        <v>0.22222222222222221</v>
      </c>
    </row>
    <row r="636" spans="1:21" x14ac:dyDescent="0.25">
      <c r="A636" t="s">
        <v>886</v>
      </c>
      <c r="B636" s="1">
        <v>45687</v>
      </c>
      <c r="C636" t="s">
        <v>360</v>
      </c>
      <c r="D636" t="s">
        <v>196</v>
      </c>
      <c r="E636" t="s">
        <v>93</v>
      </c>
      <c r="F636" t="s">
        <v>94</v>
      </c>
      <c r="G636" t="s">
        <v>64</v>
      </c>
      <c r="H636" t="s">
        <v>32</v>
      </c>
      <c r="I636" t="s">
        <v>66</v>
      </c>
      <c r="J636">
        <v>3</v>
      </c>
      <c r="K636">
        <v>4500</v>
      </c>
      <c r="L636">
        <v>10</v>
      </c>
      <c r="M636">
        <v>12150</v>
      </c>
      <c r="N636">
        <v>9450</v>
      </c>
      <c r="O636">
        <v>2700</v>
      </c>
      <c r="P636" t="s">
        <v>58</v>
      </c>
      <c r="Q636" t="s">
        <v>33</v>
      </c>
      <c r="R636" t="str">
        <f>TEXT(SalesData[[#This Row],[Order Date]],"mmm")</f>
        <v>Jan</v>
      </c>
      <c r="S636" s="2" t="str">
        <f>"Q"&amp;ROUNDUP(MONTH(SalesData[[#This Row],[Order Date]])/3,0)</f>
        <v>Q1</v>
      </c>
      <c r="T636">
        <f>YEAR(SalesData[[#This Row],[Order Date]])</f>
        <v>2025</v>
      </c>
      <c r="U636">
        <f>SalesData[[#This Row],[Profit]]/SalesData[[#This Row],[Sales]]</f>
        <v>0.22222222222222221</v>
      </c>
    </row>
    <row r="637" spans="1:21" x14ac:dyDescent="0.25">
      <c r="A637" t="s">
        <v>887</v>
      </c>
      <c r="B637" s="1">
        <v>45793</v>
      </c>
      <c r="C637" t="s">
        <v>325</v>
      </c>
      <c r="D637" t="s">
        <v>19</v>
      </c>
      <c r="E637" t="s">
        <v>37</v>
      </c>
      <c r="F637" t="s">
        <v>38</v>
      </c>
      <c r="G637" t="s">
        <v>22</v>
      </c>
      <c r="H637" t="s">
        <v>32</v>
      </c>
      <c r="I637" t="s">
        <v>53</v>
      </c>
      <c r="J637">
        <v>9</v>
      </c>
      <c r="K637">
        <v>55000</v>
      </c>
      <c r="L637">
        <v>15</v>
      </c>
      <c r="M637">
        <v>420750</v>
      </c>
      <c r="N637">
        <v>346500</v>
      </c>
      <c r="O637">
        <v>74250</v>
      </c>
      <c r="P637" t="s">
        <v>54</v>
      </c>
      <c r="Q637" t="s">
        <v>76</v>
      </c>
      <c r="R637" t="str">
        <f>TEXT(SalesData[[#This Row],[Order Date]],"mmm")</f>
        <v>May</v>
      </c>
      <c r="S637" s="2" t="str">
        <f>"Q"&amp;ROUNDUP(MONTH(SalesData[[#This Row],[Order Date]])/3,0)</f>
        <v>Q2</v>
      </c>
      <c r="T637">
        <f>YEAR(SalesData[[#This Row],[Order Date]])</f>
        <v>2025</v>
      </c>
      <c r="U637">
        <f>SalesData[[#This Row],[Profit]]/SalesData[[#This Row],[Sales]]</f>
        <v>0.17647058823529413</v>
      </c>
    </row>
    <row r="638" spans="1:21" x14ac:dyDescent="0.25">
      <c r="A638" t="s">
        <v>888</v>
      </c>
      <c r="B638" s="1">
        <v>45793</v>
      </c>
      <c r="C638" t="s">
        <v>234</v>
      </c>
      <c r="D638" t="s">
        <v>196</v>
      </c>
      <c r="E638" t="s">
        <v>30</v>
      </c>
      <c r="F638" t="s">
        <v>31</v>
      </c>
      <c r="G638" t="s">
        <v>22</v>
      </c>
      <c r="H638" t="s">
        <v>23</v>
      </c>
      <c r="I638" t="s">
        <v>66</v>
      </c>
      <c r="J638">
        <v>3</v>
      </c>
      <c r="K638">
        <v>800</v>
      </c>
      <c r="L638">
        <v>10</v>
      </c>
      <c r="M638">
        <v>2160</v>
      </c>
      <c r="N638">
        <v>1680</v>
      </c>
      <c r="O638">
        <v>480</v>
      </c>
      <c r="P638" t="s">
        <v>25</v>
      </c>
      <c r="Q638" t="s">
        <v>33</v>
      </c>
      <c r="R638" t="str">
        <f>TEXT(SalesData[[#This Row],[Order Date]],"mmm")</f>
        <v>May</v>
      </c>
      <c r="S638" s="2" t="str">
        <f>"Q"&amp;ROUNDUP(MONTH(SalesData[[#This Row],[Order Date]])/3,0)</f>
        <v>Q2</v>
      </c>
      <c r="T638">
        <f>YEAR(SalesData[[#This Row],[Order Date]])</f>
        <v>2025</v>
      </c>
      <c r="U638">
        <f>SalesData[[#This Row],[Profit]]/SalesData[[#This Row],[Sales]]</f>
        <v>0.22222222222222221</v>
      </c>
    </row>
    <row r="639" spans="1:21" x14ac:dyDescent="0.25">
      <c r="A639" t="s">
        <v>889</v>
      </c>
      <c r="B639" s="1">
        <v>45671</v>
      </c>
      <c r="C639" t="s">
        <v>150</v>
      </c>
      <c r="D639" t="s">
        <v>113</v>
      </c>
      <c r="E639" t="s">
        <v>37</v>
      </c>
      <c r="F639" t="s">
        <v>38</v>
      </c>
      <c r="G639" t="s">
        <v>22</v>
      </c>
      <c r="H639" t="s">
        <v>32</v>
      </c>
      <c r="I639" t="s">
        <v>53</v>
      </c>
      <c r="J639">
        <v>5</v>
      </c>
      <c r="K639">
        <v>55000</v>
      </c>
      <c r="L639">
        <v>15</v>
      </c>
      <c r="M639">
        <v>233750</v>
      </c>
      <c r="N639">
        <v>192500</v>
      </c>
      <c r="O639">
        <v>41250</v>
      </c>
      <c r="P639" t="s">
        <v>25</v>
      </c>
      <c r="Q639" t="s">
        <v>76</v>
      </c>
      <c r="R639" t="str">
        <f>TEXT(SalesData[[#This Row],[Order Date]],"mmm")</f>
        <v>Jan</v>
      </c>
      <c r="S639" s="2" t="str">
        <f>"Q"&amp;ROUNDUP(MONTH(SalesData[[#This Row],[Order Date]])/3,0)</f>
        <v>Q1</v>
      </c>
      <c r="T639">
        <f>YEAR(SalesData[[#This Row],[Order Date]])</f>
        <v>2025</v>
      </c>
      <c r="U639">
        <f>SalesData[[#This Row],[Profit]]/SalesData[[#This Row],[Sales]]</f>
        <v>0.17647058823529413</v>
      </c>
    </row>
    <row r="640" spans="1:21" x14ac:dyDescent="0.25">
      <c r="A640" t="s">
        <v>890</v>
      </c>
      <c r="B640" s="1">
        <v>45688</v>
      </c>
      <c r="C640" t="s">
        <v>270</v>
      </c>
      <c r="D640" t="s">
        <v>61</v>
      </c>
      <c r="E640" t="s">
        <v>30</v>
      </c>
      <c r="F640" t="s">
        <v>31</v>
      </c>
      <c r="G640" t="s">
        <v>22</v>
      </c>
      <c r="H640" t="s">
        <v>23</v>
      </c>
      <c r="I640" t="s">
        <v>39</v>
      </c>
      <c r="J640">
        <v>7</v>
      </c>
      <c r="K640">
        <v>800</v>
      </c>
      <c r="L640">
        <v>0</v>
      </c>
      <c r="M640">
        <v>5600</v>
      </c>
      <c r="N640">
        <v>3920</v>
      </c>
      <c r="O640">
        <v>1680</v>
      </c>
      <c r="P640" t="s">
        <v>25</v>
      </c>
      <c r="Q640" t="s">
        <v>26</v>
      </c>
      <c r="R640" t="str">
        <f>TEXT(SalesData[[#This Row],[Order Date]],"mmm")</f>
        <v>Jan</v>
      </c>
      <c r="S640" s="2" t="str">
        <f>"Q"&amp;ROUNDUP(MONTH(SalesData[[#This Row],[Order Date]])/3,0)</f>
        <v>Q1</v>
      </c>
      <c r="T640">
        <f>YEAR(SalesData[[#This Row],[Order Date]])</f>
        <v>2025</v>
      </c>
      <c r="U640">
        <f>SalesData[[#This Row],[Profit]]/SalesData[[#This Row],[Sales]]</f>
        <v>0.3</v>
      </c>
    </row>
    <row r="641" spans="1:21" x14ac:dyDescent="0.25">
      <c r="A641" t="s">
        <v>891</v>
      </c>
      <c r="B641" s="1">
        <v>45706</v>
      </c>
      <c r="C641" t="s">
        <v>203</v>
      </c>
      <c r="D641" t="s">
        <v>555</v>
      </c>
      <c r="E641" t="s">
        <v>30</v>
      </c>
      <c r="F641" t="s">
        <v>31</v>
      </c>
      <c r="G641" t="s">
        <v>22</v>
      </c>
      <c r="H641" t="s">
        <v>46</v>
      </c>
      <c r="I641" t="s">
        <v>80</v>
      </c>
      <c r="J641">
        <v>4</v>
      </c>
      <c r="K641">
        <v>800</v>
      </c>
      <c r="L641">
        <v>10</v>
      </c>
      <c r="M641">
        <v>2880</v>
      </c>
      <c r="N641">
        <v>2240</v>
      </c>
      <c r="O641">
        <v>640</v>
      </c>
      <c r="P641" t="s">
        <v>58</v>
      </c>
      <c r="Q641" t="s">
        <v>76</v>
      </c>
      <c r="R641" t="str">
        <f>TEXT(SalesData[[#This Row],[Order Date]],"mmm")</f>
        <v>Feb</v>
      </c>
      <c r="S641" s="2" t="str">
        <f>"Q"&amp;ROUNDUP(MONTH(SalesData[[#This Row],[Order Date]])/3,0)</f>
        <v>Q1</v>
      </c>
      <c r="T641">
        <f>YEAR(SalesData[[#This Row],[Order Date]])</f>
        <v>2025</v>
      </c>
      <c r="U641">
        <f>SalesData[[#This Row],[Profit]]/SalesData[[#This Row],[Sales]]</f>
        <v>0.22222222222222221</v>
      </c>
    </row>
    <row r="642" spans="1:21" x14ac:dyDescent="0.25">
      <c r="A642" t="s">
        <v>892</v>
      </c>
      <c r="B642" s="1">
        <v>45772</v>
      </c>
      <c r="C642" t="s">
        <v>190</v>
      </c>
      <c r="D642" t="s">
        <v>499</v>
      </c>
      <c r="E642" t="s">
        <v>50</v>
      </c>
      <c r="F642" t="s">
        <v>51</v>
      </c>
      <c r="G642" t="s">
        <v>52</v>
      </c>
      <c r="H642" t="s">
        <v>65</v>
      </c>
      <c r="I642" t="s">
        <v>39</v>
      </c>
      <c r="J642">
        <v>7</v>
      </c>
      <c r="K642">
        <v>3200</v>
      </c>
      <c r="L642">
        <v>10</v>
      </c>
      <c r="M642">
        <v>20160</v>
      </c>
      <c r="N642">
        <v>15680</v>
      </c>
      <c r="O642">
        <v>4480.0000000000018</v>
      </c>
      <c r="P642" t="s">
        <v>54</v>
      </c>
      <c r="Q642" t="s">
        <v>76</v>
      </c>
      <c r="R642" t="str">
        <f>TEXT(SalesData[[#This Row],[Order Date]],"mmm")</f>
        <v>Apr</v>
      </c>
      <c r="S642" s="2" t="str">
        <f>"Q"&amp;ROUNDUP(MONTH(SalesData[[#This Row],[Order Date]])/3,0)</f>
        <v>Q2</v>
      </c>
      <c r="T642">
        <f>YEAR(SalesData[[#This Row],[Order Date]])</f>
        <v>2025</v>
      </c>
      <c r="U642">
        <f>SalesData[[#This Row],[Profit]]/SalesData[[#This Row],[Sales]]</f>
        <v>0.22222222222222232</v>
      </c>
    </row>
    <row r="643" spans="1:21" x14ac:dyDescent="0.25">
      <c r="A643" t="s">
        <v>893</v>
      </c>
      <c r="B643" s="1">
        <v>45730</v>
      </c>
      <c r="C643" t="s">
        <v>132</v>
      </c>
      <c r="D643" t="s">
        <v>86</v>
      </c>
      <c r="E643" t="s">
        <v>30</v>
      </c>
      <c r="F643" t="s">
        <v>31</v>
      </c>
      <c r="G643" t="s">
        <v>22</v>
      </c>
      <c r="H643" t="s">
        <v>32</v>
      </c>
      <c r="I643" t="s">
        <v>80</v>
      </c>
      <c r="J643">
        <v>2</v>
      </c>
      <c r="K643">
        <v>800</v>
      </c>
      <c r="L643">
        <v>15</v>
      </c>
      <c r="M643">
        <v>1360</v>
      </c>
      <c r="N643">
        <v>1120</v>
      </c>
      <c r="O643">
        <v>240</v>
      </c>
      <c r="P643" t="s">
        <v>25</v>
      </c>
      <c r="Q643" t="s">
        <v>33</v>
      </c>
      <c r="R643" t="str">
        <f>TEXT(SalesData[[#This Row],[Order Date]],"mmm")</f>
        <v>Mar</v>
      </c>
      <c r="S643" s="2" t="str">
        <f>"Q"&amp;ROUNDUP(MONTH(SalesData[[#This Row],[Order Date]])/3,0)</f>
        <v>Q1</v>
      </c>
      <c r="T643">
        <f>YEAR(SalesData[[#This Row],[Order Date]])</f>
        <v>2025</v>
      </c>
      <c r="U643">
        <f>SalesData[[#This Row],[Profit]]/SalesData[[#This Row],[Sales]]</f>
        <v>0.17647058823529413</v>
      </c>
    </row>
    <row r="644" spans="1:21" x14ac:dyDescent="0.25">
      <c r="A644" t="s">
        <v>894</v>
      </c>
      <c r="B644" s="1">
        <v>45755</v>
      </c>
      <c r="C644" t="s">
        <v>226</v>
      </c>
      <c r="D644" t="s">
        <v>499</v>
      </c>
      <c r="E644" t="s">
        <v>37</v>
      </c>
      <c r="F644" t="s">
        <v>38</v>
      </c>
      <c r="G644" t="s">
        <v>22</v>
      </c>
      <c r="H644" t="s">
        <v>65</v>
      </c>
      <c r="I644" t="s">
        <v>39</v>
      </c>
      <c r="J644">
        <v>1</v>
      </c>
      <c r="K644">
        <v>55000</v>
      </c>
      <c r="L644">
        <v>5</v>
      </c>
      <c r="M644">
        <v>52250</v>
      </c>
      <c r="N644">
        <v>38500</v>
      </c>
      <c r="O644">
        <v>13750</v>
      </c>
      <c r="P644" t="s">
        <v>40</v>
      </c>
      <c r="Q644" t="s">
        <v>76</v>
      </c>
      <c r="R644" t="str">
        <f>TEXT(SalesData[[#This Row],[Order Date]],"mmm")</f>
        <v>Apr</v>
      </c>
      <c r="S644" s="2" t="str">
        <f>"Q"&amp;ROUNDUP(MONTH(SalesData[[#This Row],[Order Date]])/3,0)</f>
        <v>Q2</v>
      </c>
      <c r="T644">
        <f>YEAR(SalesData[[#This Row],[Order Date]])</f>
        <v>2025</v>
      </c>
      <c r="U644">
        <f>SalesData[[#This Row],[Profit]]/SalesData[[#This Row],[Sales]]</f>
        <v>0.26315789473684209</v>
      </c>
    </row>
    <row r="645" spans="1:21" x14ac:dyDescent="0.25">
      <c r="A645" t="s">
        <v>895</v>
      </c>
      <c r="B645" s="1">
        <v>45982</v>
      </c>
      <c r="C645" t="s">
        <v>539</v>
      </c>
      <c r="D645" t="s">
        <v>133</v>
      </c>
      <c r="E645" t="s">
        <v>44</v>
      </c>
      <c r="F645" t="s">
        <v>45</v>
      </c>
      <c r="G645" t="s">
        <v>22</v>
      </c>
      <c r="H645" t="s">
        <v>23</v>
      </c>
      <c r="I645" t="s">
        <v>24</v>
      </c>
      <c r="J645">
        <v>3</v>
      </c>
      <c r="K645">
        <v>9500</v>
      </c>
      <c r="L645">
        <v>10</v>
      </c>
      <c r="M645">
        <v>25650</v>
      </c>
      <c r="N645">
        <v>19950</v>
      </c>
      <c r="O645">
        <v>5700</v>
      </c>
      <c r="P645" t="s">
        <v>54</v>
      </c>
      <c r="Q645" t="s">
        <v>33</v>
      </c>
      <c r="R645" t="str">
        <f>TEXT(SalesData[[#This Row],[Order Date]],"mmm")</f>
        <v>Nov</v>
      </c>
      <c r="S645" s="2" t="str">
        <f>"Q"&amp;ROUNDUP(MONTH(SalesData[[#This Row],[Order Date]])/3,0)</f>
        <v>Q4</v>
      </c>
      <c r="T645">
        <f>YEAR(SalesData[[#This Row],[Order Date]])</f>
        <v>2025</v>
      </c>
      <c r="U645">
        <f>SalesData[[#This Row],[Profit]]/SalesData[[#This Row],[Sales]]</f>
        <v>0.22222222222222221</v>
      </c>
    </row>
    <row r="646" spans="1:21" x14ac:dyDescent="0.25">
      <c r="A646" t="s">
        <v>896</v>
      </c>
      <c r="B646" s="1">
        <v>45681</v>
      </c>
      <c r="C646" t="s">
        <v>195</v>
      </c>
      <c r="D646" t="s">
        <v>224</v>
      </c>
      <c r="E646" t="s">
        <v>70</v>
      </c>
      <c r="F646" t="s">
        <v>71</v>
      </c>
      <c r="G646" t="s">
        <v>22</v>
      </c>
      <c r="H646" t="s">
        <v>32</v>
      </c>
      <c r="I646" t="s">
        <v>53</v>
      </c>
      <c r="J646">
        <v>2</v>
      </c>
      <c r="K646">
        <v>1500</v>
      </c>
      <c r="L646">
        <v>5</v>
      </c>
      <c r="M646">
        <v>2850</v>
      </c>
      <c r="N646">
        <v>2100</v>
      </c>
      <c r="O646">
        <v>750</v>
      </c>
      <c r="P646" t="s">
        <v>40</v>
      </c>
      <c r="Q646" t="s">
        <v>33</v>
      </c>
      <c r="R646" t="str">
        <f>TEXT(SalesData[[#This Row],[Order Date]],"mmm")</f>
        <v>Jan</v>
      </c>
      <c r="S646" s="2" t="str">
        <f>"Q"&amp;ROUNDUP(MONTH(SalesData[[#This Row],[Order Date]])/3,0)</f>
        <v>Q1</v>
      </c>
      <c r="T646">
        <f>YEAR(SalesData[[#This Row],[Order Date]])</f>
        <v>2025</v>
      </c>
      <c r="U646">
        <f>SalesData[[#This Row],[Profit]]/SalesData[[#This Row],[Sales]]</f>
        <v>0.26315789473684209</v>
      </c>
    </row>
    <row r="647" spans="1:21" x14ac:dyDescent="0.25">
      <c r="A647" t="s">
        <v>897</v>
      </c>
      <c r="B647" s="1">
        <v>45733</v>
      </c>
      <c r="C647" t="s">
        <v>334</v>
      </c>
      <c r="D647" t="s">
        <v>247</v>
      </c>
      <c r="E647" t="s">
        <v>50</v>
      </c>
      <c r="F647" t="s">
        <v>51</v>
      </c>
      <c r="G647" t="s">
        <v>52</v>
      </c>
      <c r="H647" t="s">
        <v>46</v>
      </c>
      <c r="I647" t="s">
        <v>80</v>
      </c>
      <c r="J647">
        <v>5</v>
      </c>
      <c r="K647">
        <v>3200</v>
      </c>
      <c r="L647">
        <v>20</v>
      </c>
      <c r="M647">
        <v>12800</v>
      </c>
      <c r="N647">
        <v>11200</v>
      </c>
      <c r="O647">
        <v>1600</v>
      </c>
      <c r="P647" t="s">
        <v>58</v>
      </c>
      <c r="Q647" t="s">
        <v>76</v>
      </c>
      <c r="R647" t="str">
        <f>TEXT(SalesData[[#This Row],[Order Date]],"mmm")</f>
        <v>Mar</v>
      </c>
      <c r="S647" s="2" t="str">
        <f>"Q"&amp;ROUNDUP(MONTH(SalesData[[#This Row],[Order Date]])/3,0)</f>
        <v>Q1</v>
      </c>
      <c r="T647">
        <f>YEAR(SalesData[[#This Row],[Order Date]])</f>
        <v>2025</v>
      </c>
      <c r="U647">
        <f>SalesData[[#This Row],[Profit]]/SalesData[[#This Row],[Sales]]</f>
        <v>0.125</v>
      </c>
    </row>
    <row r="648" spans="1:21" x14ac:dyDescent="0.25">
      <c r="A648" t="s">
        <v>898</v>
      </c>
      <c r="B648" s="1">
        <v>45958</v>
      </c>
      <c r="C648" t="s">
        <v>376</v>
      </c>
      <c r="D648" t="s">
        <v>358</v>
      </c>
      <c r="E648" t="s">
        <v>30</v>
      </c>
      <c r="F648" t="s">
        <v>31</v>
      </c>
      <c r="G648" t="s">
        <v>22</v>
      </c>
      <c r="H648" t="s">
        <v>32</v>
      </c>
      <c r="I648" t="s">
        <v>80</v>
      </c>
      <c r="J648">
        <v>8</v>
      </c>
      <c r="K648">
        <v>800</v>
      </c>
      <c r="L648">
        <v>15</v>
      </c>
      <c r="M648">
        <v>5440</v>
      </c>
      <c r="N648">
        <v>4480</v>
      </c>
      <c r="O648">
        <v>960</v>
      </c>
      <c r="P648" t="s">
        <v>58</v>
      </c>
      <c r="Q648" t="s">
        <v>26</v>
      </c>
      <c r="R648" t="str">
        <f>TEXT(SalesData[[#This Row],[Order Date]],"mmm")</f>
        <v>Oct</v>
      </c>
      <c r="S648" s="2" t="str">
        <f>"Q"&amp;ROUNDUP(MONTH(SalesData[[#This Row],[Order Date]])/3,0)</f>
        <v>Q4</v>
      </c>
      <c r="T648">
        <f>YEAR(SalesData[[#This Row],[Order Date]])</f>
        <v>2025</v>
      </c>
      <c r="U648">
        <f>SalesData[[#This Row],[Profit]]/SalesData[[#This Row],[Sales]]</f>
        <v>0.17647058823529413</v>
      </c>
    </row>
    <row r="649" spans="1:21" x14ac:dyDescent="0.25">
      <c r="A649" t="s">
        <v>899</v>
      </c>
      <c r="B649" s="1">
        <v>45707</v>
      </c>
      <c r="C649" t="s">
        <v>219</v>
      </c>
      <c r="D649" t="s">
        <v>139</v>
      </c>
      <c r="E649" t="s">
        <v>20</v>
      </c>
      <c r="F649" t="s">
        <v>21</v>
      </c>
      <c r="G649" t="s">
        <v>22</v>
      </c>
      <c r="H649" t="s">
        <v>46</v>
      </c>
      <c r="I649" t="s">
        <v>66</v>
      </c>
      <c r="J649">
        <v>2</v>
      </c>
      <c r="K649">
        <v>3500</v>
      </c>
      <c r="L649">
        <v>10</v>
      </c>
      <c r="M649">
        <v>6300</v>
      </c>
      <c r="N649">
        <v>4900</v>
      </c>
      <c r="O649">
        <v>1400</v>
      </c>
      <c r="P649" t="s">
        <v>58</v>
      </c>
      <c r="Q649" t="s">
        <v>26</v>
      </c>
      <c r="R649" t="str">
        <f>TEXT(SalesData[[#This Row],[Order Date]],"mmm")</f>
        <v>Feb</v>
      </c>
      <c r="S649" s="2" t="str">
        <f>"Q"&amp;ROUNDUP(MONTH(SalesData[[#This Row],[Order Date]])/3,0)</f>
        <v>Q1</v>
      </c>
      <c r="T649">
        <f>YEAR(SalesData[[#This Row],[Order Date]])</f>
        <v>2025</v>
      </c>
      <c r="U649">
        <f>SalesData[[#This Row],[Profit]]/SalesData[[#This Row],[Sales]]</f>
        <v>0.22222222222222221</v>
      </c>
    </row>
    <row r="650" spans="1:21" x14ac:dyDescent="0.25">
      <c r="A650" t="s">
        <v>900</v>
      </c>
      <c r="B650" s="1">
        <v>45858</v>
      </c>
      <c r="C650" t="s">
        <v>138</v>
      </c>
      <c r="D650" t="s">
        <v>177</v>
      </c>
      <c r="E650" t="s">
        <v>50</v>
      </c>
      <c r="F650" t="s">
        <v>51</v>
      </c>
      <c r="G650" t="s">
        <v>52</v>
      </c>
      <c r="H650" t="s">
        <v>46</v>
      </c>
      <c r="I650" t="s">
        <v>24</v>
      </c>
      <c r="J650">
        <v>6</v>
      </c>
      <c r="K650">
        <v>3200</v>
      </c>
      <c r="L650">
        <v>5</v>
      </c>
      <c r="M650">
        <v>18240</v>
      </c>
      <c r="N650">
        <v>13440</v>
      </c>
      <c r="O650">
        <v>4800</v>
      </c>
      <c r="P650" t="s">
        <v>40</v>
      </c>
      <c r="Q650" t="s">
        <v>76</v>
      </c>
      <c r="R650" t="str">
        <f>TEXT(SalesData[[#This Row],[Order Date]],"mmm")</f>
        <v>Jul</v>
      </c>
      <c r="S650" s="2" t="str">
        <f>"Q"&amp;ROUNDUP(MONTH(SalesData[[#This Row],[Order Date]])/3,0)</f>
        <v>Q3</v>
      </c>
      <c r="T650">
        <f>YEAR(SalesData[[#This Row],[Order Date]])</f>
        <v>2025</v>
      </c>
      <c r="U650">
        <f>SalesData[[#This Row],[Profit]]/SalesData[[#This Row],[Sales]]</f>
        <v>0.26315789473684209</v>
      </c>
    </row>
    <row r="651" spans="1:21" x14ac:dyDescent="0.25">
      <c r="A651" t="s">
        <v>901</v>
      </c>
      <c r="B651" s="1">
        <v>45661</v>
      </c>
      <c r="C651" t="s">
        <v>214</v>
      </c>
      <c r="D651" t="s">
        <v>61</v>
      </c>
      <c r="E651" t="s">
        <v>30</v>
      </c>
      <c r="F651" t="s">
        <v>31</v>
      </c>
      <c r="G651" t="s">
        <v>22</v>
      </c>
      <c r="H651" t="s">
        <v>65</v>
      </c>
      <c r="I651" t="s">
        <v>80</v>
      </c>
      <c r="J651">
        <v>4</v>
      </c>
      <c r="K651">
        <v>800</v>
      </c>
      <c r="L651">
        <v>5</v>
      </c>
      <c r="M651">
        <v>3040</v>
      </c>
      <c r="N651">
        <v>2240</v>
      </c>
      <c r="O651">
        <v>800</v>
      </c>
      <c r="P651" t="s">
        <v>54</v>
      </c>
      <c r="Q651" t="s">
        <v>76</v>
      </c>
      <c r="R651" t="str">
        <f>TEXT(SalesData[[#This Row],[Order Date]],"mmm")</f>
        <v>Jan</v>
      </c>
      <c r="S651" s="2" t="str">
        <f>"Q"&amp;ROUNDUP(MONTH(SalesData[[#This Row],[Order Date]])/3,0)</f>
        <v>Q1</v>
      </c>
      <c r="T651">
        <f>YEAR(SalesData[[#This Row],[Order Date]])</f>
        <v>2025</v>
      </c>
      <c r="U651">
        <f>SalesData[[#This Row],[Profit]]/SalesData[[#This Row],[Sales]]</f>
        <v>0.26315789473684209</v>
      </c>
    </row>
    <row r="652" spans="1:21" x14ac:dyDescent="0.25">
      <c r="A652" t="s">
        <v>902</v>
      </c>
      <c r="B652" s="1">
        <v>45785</v>
      </c>
      <c r="C652" t="s">
        <v>623</v>
      </c>
      <c r="D652" t="s">
        <v>606</v>
      </c>
      <c r="E652" t="s">
        <v>50</v>
      </c>
      <c r="F652" t="s">
        <v>51</v>
      </c>
      <c r="G652" t="s">
        <v>52</v>
      </c>
      <c r="H652" t="s">
        <v>23</v>
      </c>
      <c r="I652" t="s">
        <v>80</v>
      </c>
      <c r="J652">
        <v>9</v>
      </c>
      <c r="K652">
        <v>3200</v>
      </c>
      <c r="L652">
        <v>20</v>
      </c>
      <c r="M652">
        <v>23040</v>
      </c>
      <c r="N652">
        <v>20160</v>
      </c>
      <c r="O652">
        <v>2880</v>
      </c>
      <c r="P652" t="s">
        <v>54</v>
      </c>
      <c r="Q652" t="s">
        <v>33</v>
      </c>
      <c r="R652" t="str">
        <f>TEXT(SalesData[[#This Row],[Order Date]],"mmm")</f>
        <v>May</v>
      </c>
      <c r="S652" s="2" t="str">
        <f>"Q"&amp;ROUNDUP(MONTH(SalesData[[#This Row],[Order Date]])/3,0)</f>
        <v>Q2</v>
      </c>
      <c r="T652">
        <f>YEAR(SalesData[[#This Row],[Order Date]])</f>
        <v>2025</v>
      </c>
      <c r="U652">
        <f>SalesData[[#This Row],[Profit]]/SalesData[[#This Row],[Sales]]</f>
        <v>0.125</v>
      </c>
    </row>
    <row r="653" spans="1:21" x14ac:dyDescent="0.25">
      <c r="A653" t="s">
        <v>903</v>
      </c>
      <c r="B653" s="1">
        <v>45840</v>
      </c>
      <c r="C653" t="s">
        <v>291</v>
      </c>
      <c r="D653" t="s">
        <v>61</v>
      </c>
      <c r="E653" t="s">
        <v>44</v>
      </c>
      <c r="F653" t="s">
        <v>45</v>
      </c>
      <c r="G653" t="s">
        <v>22</v>
      </c>
      <c r="H653" t="s">
        <v>23</v>
      </c>
      <c r="I653" t="s">
        <v>53</v>
      </c>
      <c r="J653">
        <v>6</v>
      </c>
      <c r="K653">
        <v>9500</v>
      </c>
      <c r="L653">
        <v>10</v>
      </c>
      <c r="M653">
        <v>51300</v>
      </c>
      <c r="N653">
        <v>39900</v>
      </c>
      <c r="O653">
        <v>11400</v>
      </c>
      <c r="P653" t="s">
        <v>25</v>
      </c>
      <c r="Q653" t="s">
        <v>33</v>
      </c>
      <c r="R653" t="str">
        <f>TEXT(SalesData[[#This Row],[Order Date]],"mmm")</f>
        <v>Jul</v>
      </c>
      <c r="S653" s="2" t="str">
        <f>"Q"&amp;ROUNDUP(MONTH(SalesData[[#This Row],[Order Date]])/3,0)</f>
        <v>Q3</v>
      </c>
      <c r="T653">
        <f>YEAR(SalesData[[#This Row],[Order Date]])</f>
        <v>2025</v>
      </c>
      <c r="U653">
        <f>SalesData[[#This Row],[Profit]]/SalesData[[#This Row],[Sales]]</f>
        <v>0.22222222222222221</v>
      </c>
    </row>
    <row r="654" spans="1:21" x14ac:dyDescent="0.25">
      <c r="A654" t="s">
        <v>904</v>
      </c>
      <c r="B654" s="1">
        <v>45697</v>
      </c>
      <c r="C654" t="s">
        <v>246</v>
      </c>
      <c r="D654" t="s">
        <v>183</v>
      </c>
      <c r="E654" t="s">
        <v>20</v>
      </c>
      <c r="F654" t="s">
        <v>21</v>
      </c>
      <c r="G654" t="s">
        <v>22</v>
      </c>
      <c r="H654" t="s">
        <v>32</v>
      </c>
      <c r="I654" t="s">
        <v>39</v>
      </c>
      <c r="J654">
        <v>8</v>
      </c>
      <c r="K654">
        <v>3500</v>
      </c>
      <c r="L654">
        <v>10</v>
      </c>
      <c r="M654">
        <v>25200</v>
      </c>
      <c r="N654">
        <v>19600</v>
      </c>
      <c r="O654">
        <v>5600</v>
      </c>
      <c r="P654" t="s">
        <v>58</v>
      </c>
      <c r="Q654" t="s">
        <v>33</v>
      </c>
      <c r="R654" t="str">
        <f>TEXT(SalesData[[#This Row],[Order Date]],"mmm")</f>
        <v>Feb</v>
      </c>
      <c r="S654" s="2" t="str">
        <f>"Q"&amp;ROUNDUP(MONTH(SalesData[[#This Row],[Order Date]])/3,0)</f>
        <v>Q1</v>
      </c>
      <c r="T654">
        <f>YEAR(SalesData[[#This Row],[Order Date]])</f>
        <v>2025</v>
      </c>
      <c r="U654">
        <f>SalesData[[#This Row],[Profit]]/SalesData[[#This Row],[Sales]]</f>
        <v>0.22222222222222221</v>
      </c>
    </row>
    <row r="655" spans="1:21" x14ac:dyDescent="0.25">
      <c r="A655" t="s">
        <v>905</v>
      </c>
      <c r="B655" s="1">
        <v>45899</v>
      </c>
      <c r="C655" t="s">
        <v>118</v>
      </c>
      <c r="D655" t="s">
        <v>305</v>
      </c>
      <c r="E655" t="s">
        <v>30</v>
      </c>
      <c r="F655" t="s">
        <v>31</v>
      </c>
      <c r="G655" t="s">
        <v>22</v>
      </c>
      <c r="H655" t="s">
        <v>46</v>
      </c>
      <c r="I655" t="s">
        <v>24</v>
      </c>
      <c r="J655">
        <v>5</v>
      </c>
      <c r="K655">
        <v>800</v>
      </c>
      <c r="L655">
        <v>5</v>
      </c>
      <c r="M655">
        <v>3800</v>
      </c>
      <c r="N655">
        <v>2800</v>
      </c>
      <c r="O655">
        <v>1000</v>
      </c>
      <c r="P655" t="s">
        <v>25</v>
      </c>
      <c r="Q655" t="s">
        <v>76</v>
      </c>
      <c r="R655" t="str">
        <f>TEXT(SalesData[[#This Row],[Order Date]],"mmm")</f>
        <v>Aug</v>
      </c>
      <c r="S655" s="2" t="str">
        <f>"Q"&amp;ROUNDUP(MONTH(SalesData[[#This Row],[Order Date]])/3,0)</f>
        <v>Q3</v>
      </c>
      <c r="T655">
        <f>YEAR(SalesData[[#This Row],[Order Date]])</f>
        <v>2025</v>
      </c>
      <c r="U655">
        <f>SalesData[[#This Row],[Profit]]/SalesData[[#This Row],[Sales]]</f>
        <v>0.26315789473684209</v>
      </c>
    </row>
    <row r="656" spans="1:21" x14ac:dyDescent="0.25">
      <c r="A656" t="s">
        <v>906</v>
      </c>
      <c r="B656" s="1">
        <v>45679</v>
      </c>
      <c r="C656" t="s">
        <v>147</v>
      </c>
      <c r="D656" t="s">
        <v>209</v>
      </c>
      <c r="E656" t="s">
        <v>30</v>
      </c>
      <c r="F656" t="s">
        <v>31</v>
      </c>
      <c r="G656" t="s">
        <v>22</v>
      </c>
      <c r="H656" t="s">
        <v>23</v>
      </c>
      <c r="I656" t="s">
        <v>80</v>
      </c>
      <c r="J656">
        <v>4</v>
      </c>
      <c r="K656">
        <v>800</v>
      </c>
      <c r="L656">
        <v>20</v>
      </c>
      <c r="M656">
        <v>2560</v>
      </c>
      <c r="N656">
        <v>2240</v>
      </c>
      <c r="O656">
        <v>320</v>
      </c>
      <c r="P656" t="s">
        <v>54</v>
      </c>
      <c r="Q656" t="s">
        <v>33</v>
      </c>
      <c r="R656" t="str">
        <f>TEXT(SalesData[[#This Row],[Order Date]],"mmm")</f>
        <v>Jan</v>
      </c>
      <c r="S656" s="2" t="str">
        <f>"Q"&amp;ROUNDUP(MONTH(SalesData[[#This Row],[Order Date]])/3,0)</f>
        <v>Q1</v>
      </c>
      <c r="T656">
        <f>YEAR(SalesData[[#This Row],[Order Date]])</f>
        <v>2025</v>
      </c>
      <c r="U656">
        <f>SalesData[[#This Row],[Profit]]/SalesData[[#This Row],[Sales]]</f>
        <v>0.125</v>
      </c>
    </row>
    <row r="657" spans="1:21" x14ac:dyDescent="0.25">
      <c r="A657" t="s">
        <v>907</v>
      </c>
      <c r="B657" s="1">
        <v>45900</v>
      </c>
      <c r="C657" t="s">
        <v>78</v>
      </c>
      <c r="D657" t="s">
        <v>145</v>
      </c>
      <c r="E657" t="s">
        <v>70</v>
      </c>
      <c r="F657" t="s">
        <v>71</v>
      </c>
      <c r="G657" t="s">
        <v>22</v>
      </c>
      <c r="H657" t="s">
        <v>23</v>
      </c>
      <c r="I657" t="s">
        <v>24</v>
      </c>
      <c r="J657">
        <v>3</v>
      </c>
      <c r="K657">
        <v>1500</v>
      </c>
      <c r="L657">
        <v>20</v>
      </c>
      <c r="M657">
        <v>3600</v>
      </c>
      <c r="N657">
        <v>3150</v>
      </c>
      <c r="O657">
        <v>450</v>
      </c>
      <c r="P657" t="s">
        <v>40</v>
      </c>
      <c r="Q657" t="s">
        <v>26</v>
      </c>
      <c r="R657" t="str">
        <f>TEXT(SalesData[[#This Row],[Order Date]],"mmm")</f>
        <v>Aug</v>
      </c>
      <c r="S657" s="2" t="str">
        <f>"Q"&amp;ROUNDUP(MONTH(SalesData[[#This Row],[Order Date]])/3,0)</f>
        <v>Q3</v>
      </c>
      <c r="T657">
        <f>YEAR(SalesData[[#This Row],[Order Date]])</f>
        <v>2025</v>
      </c>
      <c r="U657">
        <f>SalesData[[#This Row],[Profit]]/SalesData[[#This Row],[Sales]]</f>
        <v>0.125</v>
      </c>
    </row>
    <row r="658" spans="1:21" x14ac:dyDescent="0.25">
      <c r="A658" t="s">
        <v>908</v>
      </c>
      <c r="B658" s="1">
        <v>45829</v>
      </c>
      <c r="C658" t="s">
        <v>144</v>
      </c>
      <c r="D658" t="s">
        <v>394</v>
      </c>
      <c r="E658" t="s">
        <v>44</v>
      </c>
      <c r="F658" t="s">
        <v>45</v>
      </c>
      <c r="G658" t="s">
        <v>22</v>
      </c>
      <c r="H658" t="s">
        <v>23</v>
      </c>
      <c r="I658" t="s">
        <v>24</v>
      </c>
      <c r="J658">
        <v>7</v>
      </c>
      <c r="K658">
        <v>9500</v>
      </c>
      <c r="L658">
        <v>5</v>
      </c>
      <c r="M658">
        <v>63175</v>
      </c>
      <c r="N658">
        <v>46550</v>
      </c>
      <c r="O658">
        <v>16625</v>
      </c>
      <c r="P658" t="s">
        <v>54</v>
      </c>
      <c r="Q658" t="s">
        <v>33</v>
      </c>
      <c r="R658" t="str">
        <f>TEXT(SalesData[[#This Row],[Order Date]],"mmm")</f>
        <v>Jun</v>
      </c>
      <c r="S658" s="2" t="str">
        <f>"Q"&amp;ROUNDUP(MONTH(SalesData[[#This Row],[Order Date]])/3,0)</f>
        <v>Q2</v>
      </c>
      <c r="T658">
        <f>YEAR(SalesData[[#This Row],[Order Date]])</f>
        <v>2025</v>
      </c>
      <c r="U658">
        <f>SalesData[[#This Row],[Profit]]/SalesData[[#This Row],[Sales]]</f>
        <v>0.26315789473684209</v>
      </c>
    </row>
    <row r="659" spans="1:21" x14ac:dyDescent="0.25">
      <c r="A659" t="s">
        <v>909</v>
      </c>
      <c r="B659" s="1">
        <v>46020</v>
      </c>
      <c r="C659" t="s">
        <v>367</v>
      </c>
      <c r="D659" t="s">
        <v>185</v>
      </c>
      <c r="E659" t="s">
        <v>37</v>
      </c>
      <c r="F659" t="s">
        <v>38</v>
      </c>
      <c r="G659" t="s">
        <v>22</v>
      </c>
      <c r="H659" t="s">
        <v>46</v>
      </c>
      <c r="I659" t="s">
        <v>53</v>
      </c>
      <c r="J659">
        <v>8</v>
      </c>
      <c r="K659">
        <v>55000</v>
      </c>
      <c r="L659">
        <v>15</v>
      </c>
      <c r="M659">
        <v>374000</v>
      </c>
      <c r="N659">
        <v>308000</v>
      </c>
      <c r="O659">
        <v>66000</v>
      </c>
      <c r="P659" t="s">
        <v>25</v>
      </c>
      <c r="Q659" t="s">
        <v>76</v>
      </c>
      <c r="R659" t="str">
        <f>TEXT(SalesData[[#This Row],[Order Date]],"mmm")</f>
        <v>Dec</v>
      </c>
      <c r="S659" s="2" t="str">
        <f>"Q"&amp;ROUNDUP(MONTH(SalesData[[#This Row],[Order Date]])/3,0)</f>
        <v>Q4</v>
      </c>
      <c r="T659">
        <f>YEAR(SalesData[[#This Row],[Order Date]])</f>
        <v>2025</v>
      </c>
      <c r="U659">
        <f>SalesData[[#This Row],[Profit]]/SalesData[[#This Row],[Sales]]</f>
        <v>0.17647058823529413</v>
      </c>
    </row>
    <row r="660" spans="1:21" x14ac:dyDescent="0.25">
      <c r="A660" t="s">
        <v>910</v>
      </c>
      <c r="B660" s="1">
        <v>46020</v>
      </c>
      <c r="C660" t="s">
        <v>471</v>
      </c>
      <c r="D660" t="s">
        <v>19</v>
      </c>
      <c r="E660" t="s">
        <v>44</v>
      </c>
      <c r="F660" t="s">
        <v>45</v>
      </c>
      <c r="G660" t="s">
        <v>22</v>
      </c>
      <c r="H660" t="s">
        <v>32</v>
      </c>
      <c r="I660" t="s">
        <v>72</v>
      </c>
      <c r="J660">
        <v>1</v>
      </c>
      <c r="K660">
        <v>9500</v>
      </c>
      <c r="L660">
        <v>20</v>
      </c>
      <c r="M660">
        <v>7600</v>
      </c>
      <c r="N660">
        <v>6650</v>
      </c>
      <c r="O660">
        <v>950</v>
      </c>
      <c r="P660" t="s">
        <v>54</v>
      </c>
      <c r="Q660" t="s">
        <v>76</v>
      </c>
      <c r="R660" t="str">
        <f>TEXT(SalesData[[#This Row],[Order Date]],"mmm")</f>
        <v>Dec</v>
      </c>
      <c r="S660" s="2" t="str">
        <f>"Q"&amp;ROUNDUP(MONTH(SalesData[[#This Row],[Order Date]])/3,0)</f>
        <v>Q4</v>
      </c>
      <c r="T660">
        <f>YEAR(SalesData[[#This Row],[Order Date]])</f>
        <v>2025</v>
      </c>
      <c r="U660">
        <f>SalesData[[#This Row],[Profit]]/SalesData[[#This Row],[Sales]]</f>
        <v>0.125</v>
      </c>
    </row>
    <row r="661" spans="1:21" x14ac:dyDescent="0.25">
      <c r="A661" t="s">
        <v>911</v>
      </c>
      <c r="B661" s="1">
        <v>45693</v>
      </c>
      <c r="C661" t="s">
        <v>182</v>
      </c>
      <c r="D661" t="s">
        <v>196</v>
      </c>
      <c r="E661" t="s">
        <v>70</v>
      </c>
      <c r="F661" t="s">
        <v>71</v>
      </c>
      <c r="G661" t="s">
        <v>22</v>
      </c>
      <c r="H661" t="s">
        <v>23</v>
      </c>
      <c r="I661" t="s">
        <v>72</v>
      </c>
      <c r="J661">
        <v>7</v>
      </c>
      <c r="K661">
        <v>1500</v>
      </c>
      <c r="L661">
        <v>20</v>
      </c>
      <c r="M661">
        <v>8400</v>
      </c>
      <c r="N661">
        <v>7349.9999999999991</v>
      </c>
      <c r="O661">
        <v>1050.0000000000009</v>
      </c>
      <c r="P661" t="s">
        <v>58</v>
      </c>
      <c r="Q661" t="s">
        <v>33</v>
      </c>
      <c r="R661" t="str">
        <f>TEXT(SalesData[[#This Row],[Order Date]],"mmm")</f>
        <v>Feb</v>
      </c>
      <c r="S661" s="2" t="str">
        <f>"Q"&amp;ROUNDUP(MONTH(SalesData[[#This Row],[Order Date]])/3,0)</f>
        <v>Q1</v>
      </c>
      <c r="T661">
        <f>YEAR(SalesData[[#This Row],[Order Date]])</f>
        <v>2025</v>
      </c>
      <c r="U661">
        <f>SalesData[[#This Row],[Profit]]/SalesData[[#This Row],[Sales]]</f>
        <v>0.12500000000000011</v>
      </c>
    </row>
    <row r="662" spans="1:21" x14ac:dyDescent="0.25">
      <c r="A662" t="s">
        <v>912</v>
      </c>
      <c r="B662" s="1">
        <v>45966</v>
      </c>
      <c r="C662" t="s">
        <v>634</v>
      </c>
      <c r="D662" t="s">
        <v>199</v>
      </c>
      <c r="E662" t="s">
        <v>70</v>
      </c>
      <c r="F662" t="s">
        <v>71</v>
      </c>
      <c r="G662" t="s">
        <v>22</v>
      </c>
      <c r="H662" t="s">
        <v>46</v>
      </c>
      <c r="I662" t="s">
        <v>53</v>
      </c>
      <c r="J662">
        <v>4</v>
      </c>
      <c r="K662">
        <v>1500</v>
      </c>
      <c r="L662">
        <v>5</v>
      </c>
      <c r="M662">
        <v>5700</v>
      </c>
      <c r="N662">
        <v>4200</v>
      </c>
      <c r="O662">
        <v>1500</v>
      </c>
      <c r="P662" t="s">
        <v>25</v>
      </c>
      <c r="Q662" t="s">
        <v>76</v>
      </c>
      <c r="R662" t="str">
        <f>TEXT(SalesData[[#This Row],[Order Date]],"mmm")</f>
        <v>Nov</v>
      </c>
      <c r="S662" s="2" t="str">
        <f>"Q"&amp;ROUNDUP(MONTH(SalesData[[#This Row],[Order Date]])/3,0)</f>
        <v>Q4</v>
      </c>
      <c r="T662">
        <f>YEAR(SalesData[[#This Row],[Order Date]])</f>
        <v>2025</v>
      </c>
      <c r="U662">
        <f>SalesData[[#This Row],[Profit]]/SalesData[[#This Row],[Sales]]</f>
        <v>0.26315789473684209</v>
      </c>
    </row>
    <row r="663" spans="1:21" x14ac:dyDescent="0.25">
      <c r="A663" t="s">
        <v>913</v>
      </c>
      <c r="B663" s="1">
        <v>45668</v>
      </c>
      <c r="C663" t="s">
        <v>157</v>
      </c>
      <c r="D663" t="s">
        <v>224</v>
      </c>
      <c r="E663" t="s">
        <v>50</v>
      </c>
      <c r="F663" t="s">
        <v>51</v>
      </c>
      <c r="G663" t="s">
        <v>52</v>
      </c>
      <c r="H663" t="s">
        <v>65</v>
      </c>
      <c r="I663" t="s">
        <v>39</v>
      </c>
      <c r="J663">
        <v>9</v>
      </c>
      <c r="K663">
        <v>3200</v>
      </c>
      <c r="L663">
        <v>15</v>
      </c>
      <c r="M663">
        <v>24480</v>
      </c>
      <c r="N663">
        <v>20160</v>
      </c>
      <c r="O663">
        <v>4320</v>
      </c>
      <c r="P663" t="s">
        <v>54</v>
      </c>
      <c r="Q663" t="s">
        <v>33</v>
      </c>
      <c r="R663" t="str">
        <f>TEXT(SalesData[[#This Row],[Order Date]],"mmm")</f>
        <v>Jan</v>
      </c>
      <c r="S663" s="2" t="str">
        <f>"Q"&amp;ROUNDUP(MONTH(SalesData[[#This Row],[Order Date]])/3,0)</f>
        <v>Q1</v>
      </c>
      <c r="T663">
        <f>YEAR(SalesData[[#This Row],[Order Date]])</f>
        <v>2025</v>
      </c>
      <c r="U663">
        <f>SalesData[[#This Row],[Profit]]/SalesData[[#This Row],[Sales]]</f>
        <v>0.17647058823529413</v>
      </c>
    </row>
    <row r="664" spans="1:21" x14ac:dyDescent="0.25">
      <c r="A664" t="s">
        <v>914</v>
      </c>
      <c r="B664" s="1">
        <v>45938</v>
      </c>
      <c r="C664" t="s">
        <v>376</v>
      </c>
      <c r="D664" t="s">
        <v>136</v>
      </c>
      <c r="E664" t="s">
        <v>70</v>
      </c>
      <c r="F664" t="s">
        <v>71</v>
      </c>
      <c r="G664" t="s">
        <v>22</v>
      </c>
      <c r="H664" t="s">
        <v>32</v>
      </c>
      <c r="I664" t="s">
        <v>24</v>
      </c>
      <c r="J664">
        <v>7</v>
      </c>
      <c r="K664">
        <v>1500</v>
      </c>
      <c r="L664">
        <v>20</v>
      </c>
      <c r="M664">
        <v>8400</v>
      </c>
      <c r="N664">
        <v>7349.9999999999991</v>
      </c>
      <c r="O664">
        <v>1050.0000000000009</v>
      </c>
      <c r="P664" t="s">
        <v>58</v>
      </c>
      <c r="Q664" t="s">
        <v>33</v>
      </c>
      <c r="R664" t="str">
        <f>TEXT(SalesData[[#This Row],[Order Date]],"mmm")</f>
        <v>Oct</v>
      </c>
      <c r="S664" s="2" t="str">
        <f>"Q"&amp;ROUNDUP(MONTH(SalesData[[#This Row],[Order Date]])/3,0)</f>
        <v>Q4</v>
      </c>
      <c r="T664">
        <f>YEAR(SalesData[[#This Row],[Order Date]])</f>
        <v>2025</v>
      </c>
      <c r="U664">
        <f>SalesData[[#This Row],[Profit]]/SalesData[[#This Row],[Sales]]</f>
        <v>0.12500000000000011</v>
      </c>
    </row>
    <row r="665" spans="1:21" x14ac:dyDescent="0.25">
      <c r="A665" t="s">
        <v>915</v>
      </c>
      <c r="B665" s="1">
        <v>45841</v>
      </c>
      <c r="C665" t="s">
        <v>144</v>
      </c>
      <c r="D665" t="s">
        <v>145</v>
      </c>
      <c r="E665" t="s">
        <v>50</v>
      </c>
      <c r="F665" t="s">
        <v>51</v>
      </c>
      <c r="G665" t="s">
        <v>52</v>
      </c>
      <c r="H665" t="s">
        <v>23</v>
      </c>
      <c r="I665" t="s">
        <v>66</v>
      </c>
      <c r="J665">
        <v>8</v>
      </c>
      <c r="K665">
        <v>3200</v>
      </c>
      <c r="L665">
        <v>0</v>
      </c>
      <c r="M665">
        <v>25600</v>
      </c>
      <c r="N665">
        <v>17920</v>
      </c>
      <c r="O665">
        <v>7680</v>
      </c>
      <c r="P665" t="s">
        <v>54</v>
      </c>
      <c r="Q665" t="s">
        <v>33</v>
      </c>
      <c r="R665" t="str">
        <f>TEXT(SalesData[[#This Row],[Order Date]],"mmm")</f>
        <v>Jul</v>
      </c>
      <c r="S665" s="2" t="str">
        <f>"Q"&amp;ROUNDUP(MONTH(SalesData[[#This Row],[Order Date]])/3,0)</f>
        <v>Q3</v>
      </c>
      <c r="T665">
        <f>YEAR(SalesData[[#This Row],[Order Date]])</f>
        <v>2025</v>
      </c>
      <c r="U665">
        <f>SalesData[[#This Row],[Profit]]/SalesData[[#This Row],[Sales]]</f>
        <v>0.3</v>
      </c>
    </row>
    <row r="666" spans="1:21" x14ac:dyDescent="0.25">
      <c r="A666" t="s">
        <v>916</v>
      </c>
      <c r="B666" s="1">
        <v>46006</v>
      </c>
      <c r="C666" t="s">
        <v>176</v>
      </c>
      <c r="D666" t="s">
        <v>128</v>
      </c>
      <c r="E666" t="s">
        <v>20</v>
      </c>
      <c r="F666" t="s">
        <v>21</v>
      </c>
      <c r="G666" t="s">
        <v>22</v>
      </c>
      <c r="H666" t="s">
        <v>23</v>
      </c>
      <c r="I666" t="s">
        <v>39</v>
      </c>
      <c r="J666">
        <v>4</v>
      </c>
      <c r="K666">
        <v>3500</v>
      </c>
      <c r="L666">
        <v>15</v>
      </c>
      <c r="M666">
        <v>11900</v>
      </c>
      <c r="N666">
        <v>9800</v>
      </c>
      <c r="O666">
        <v>2100</v>
      </c>
      <c r="P666" t="s">
        <v>40</v>
      </c>
      <c r="Q666" t="s">
        <v>76</v>
      </c>
      <c r="R666" t="str">
        <f>TEXT(SalesData[[#This Row],[Order Date]],"mmm")</f>
        <v>Dec</v>
      </c>
      <c r="S666" s="2" t="str">
        <f>"Q"&amp;ROUNDUP(MONTH(SalesData[[#This Row],[Order Date]])/3,0)</f>
        <v>Q4</v>
      </c>
      <c r="T666">
        <f>YEAR(SalesData[[#This Row],[Order Date]])</f>
        <v>2025</v>
      </c>
      <c r="U666">
        <f>SalesData[[#This Row],[Profit]]/SalesData[[#This Row],[Sales]]</f>
        <v>0.17647058823529413</v>
      </c>
    </row>
    <row r="667" spans="1:21" x14ac:dyDescent="0.25">
      <c r="A667" t="s">
        <v>917</v>
      </c>
      <c r="B667" s="1">
        <v>45800</v>
      </c>
      <c r="C667" t="s">
        <v>88</v>
      </c>
      <c r="D667" t="s">
        <v>336</v>
      </c>
      <c r="E667" t="s">
        <v>62</v>
      </c>
      <c r="F667" t="s">
        <v>63</v>
      </c>
      <c r="G667" t="s">
        <v>64</v>
      </c>
      <c r="H667" t="s">
        <v>65</v>
      </c>
      <c r="I667" t="s">
        <v>24</v>
      </c>
      <c r="J667">
        <v>8</v>
      </c>
      <c r="K667">
        <v>8500</v>
      </c>
      <c r="L667">
        <v>15</v>
      </c>
      <c r="M667">
        <v>57800</v>
      </c>
      <c r="N667">
        <v>47600</v>
      </c>
      <c r="O667">
        <v>10200</v>
      </c>
      <c r="P667" t="s">
        <v>25</v>
      </c>
      <c r="Q667" t="s">
        <v>33</v>
      </c>
      <c r="R667" t="str">
        <f>TEXT(SalesData[[#This Row],[Order Date]],"mmm")</f>
        <v>May</v>
      </c>
      <c r="S667" s="2" t="str">
        <f>"Q"&amp;ROUNDUP(MONTH(SalesData[[#This Row],[Order Date]])/3,0)</f>
        <v>Q2</v>
      </c>
      <c r="T667">
        <f>YEAR(SalesData[[#This Row],[Order Date]])</f>
        <v>2025</v>
      </c>
      <c r="U667">
        <f>SalesData[[#This Row],[Profit]]/SalesData[[#This Row],[Sales]]</f>
        <v>0.17647058823529413</v>
      </c>
    </row>
    <row r="668" spans="1:21" x14ac:dyDescent="0.25">
      <c r="A668" t="s">
        <v>918</v>
      </c>
      <c r="B668" s="1">
        <v>45913</v>
      </c>
      <c r="C668" t="s">
        <v>273</v>
      </c>
      <c r="D668" t="s">
        <v>305</v>
      </c>
      <c r="E668" t="s">
        <v>62</v>
      </c>
      <c r="F668" t="s">
        <v>63</v>
      </c>
      <c r="G668" t="s">
        <v>64</v>
      </c>
      <c r="H668" t="s">
        <v>65</v>
      </c>
      <c r="I668" t="s">
        <v>72</v>
      </c>
      <c r="J668">
        <v>1</v>
      </c>
      <c r="K668">
        <v>8500</v>
      </c>
      <c r="L668">
        <v>5</v>
      </c>
      <c r="M668">
        <v>8075</v>
      </c>
      <c r="N668">
        <v>5950</v>
      </c>
      <c r="O668">
        <v>2125</v>
      </c>
      <c r="P668" t="s">
        <v>25</v>
      </c>
      <c r="Q668" t="s">
        <v>26</v>
      </c>
      <c r="R668" t="str">
        <f>TEXT(SalesData[[#This Row],[Order Date]],"mmm")</f>
        <v>Sep</v>
      </c>
      <c r="S668" s="2" t="str">
        <f>"Q"&amp;ROUNDUP(MONTH(SalesData[[#This Row],[Order Date]])/3,0)</f>
        <v>Q3</v>
      </c>
      <c r="T668">
        <f>YEAR(SalesData[[#This Row],[Order Date]])</f>
        <v>2025</v>
      </c>
      <c r="U668">
        <f>SalesData[[#This Row],[Profit]]/SalesData[[#This Row],[Sales]]</f>
        <v>0.26315789473684209</v>
      </c>
    </row>
    <row r="669" spans="1:21" x14ac:dyDescent="0.25">
      <c r="A669" t="s">
        <v>919</v>
      </c>
      <c r="B669" s="1">
        <v>45781</v>
      </c>
      <c r="C669" t="s">
        <v>252</v>
      </c>
      <c r="D669" t="s">
        <v>183</v>
      </c>
      <c r="E669" t="s">
        <v>62</v>
      </c>
      <c r="F669" t="s">
        <v>63</v>
      </c>
      <c r="G669" t="s">
        <v>64</v>
      </c>
      <c r="H669" t="s">
        <v>46</v>
      </c>
      <c r="I669" t="s">
        <v>72</v>
      </c>
      <c r="J669">
        <v>4</v>
      </c>
      <c r="K669">
        <v>8500</v>
      </c>
      <c r="L669">
        <v>0</v>
      </c>
      <c r="M669">
        <v>34000</v>
      </c>
      <c r="N669">
        <v>23800</v>
      </c>
      <c r="O669">
        <v>10200</v>
      </c>
      <c r="P669" t="s">
        <v>54</v>
      </c>
      <c r="Q669" t="s">
        <v>26</v>
      </c>
      <c r="R669" t="str">
        <f>TEXT(SalesData[[#This Row],[Order Date]],"mmm")</f>
        <v>May</v>
      </c>
      <c r="S669" s="2" t="str">
        <f>"Q"&amp;ROUNDUP(MONTH(SalesData[[#This Row],[Order Date]])/3,0)</f>
        <v>Q2</v>
      </c>
      <c r="T669">
        <f>YEAR(SalesData[[#This Row],[Order Date]])</f>
        <v>2025</v>
      </c>
      <c r="U669">
        <f>SalesData[[#This Row],[Profit]]/SalesData[[#This Row],[Sales]]</f>
        <v>0.3</v>
      </c>
    </row>
    <row r="670" spans="1:21" x14ac:dyDescent="0.25">
      <c r="A670" t="s">
        <v>920</v>
      </c>
      <c r="B670" s="1">
        <v>45705</v>
      </c>
      <c r="C670" t="s">
        <v>367</v>
      </c>
      <c r="D670" t="s">
        <v>921</v>
      </c>
      <c r="E670" t="s">
        <v>70</v>
      </c>
      <c r="F670" t="s">
        <v>71</v>
      </c>
      <c r="G670" t="s">
        <v>22</v>
      </c>
      <c r="H670" t="s">
        <v>32</v>
      </c>
      <c r="I670" t="s">
        <v>66</v>
      </c>
      <c r="J670">
        <v>10</v>
      </c>
      <c r="K670">
        <v>1500</v>
      </c>
      <c r="L670">
        <v>5</v>
      </c>
      <c r="M670">
        <v>14250</v>
      </c>
      <c r="N670">
        <v>10500</v>
      </c>
      <c r="O670">
        <v>3750</v>
      </c>
      <c r="P670" t="s">
        <v>40</v>
      </c>
      <c r="Q670" t="s">
        <v>26</v>
      </c>
      <c r="R670" t="str">
        <f>TEXT(SalesData[[#This Row],[Order Date]],"mmm")</f>
        <v>Feb</v>
      </c>
      <c r="S670" s="2" t="str">
        <f>"Q"&amp;ROUNDUP(MONTH(SalesData[[#This Row],[Order Date]])/3,0)</f>
        <v>Q1</v>
      </c>
      <c r="T670">
        <f>YEAR(SalesData[[#This Row],[Order Date]])</f>
        <v>2025</v>
      </c>
      <c r="U670">
        <f>SalesData[[#This Row],[Profit]]/SalesData[[#This Row],[Sales]]</f>
        <v>0.26315789473684209</v>
      </c>
    </row>
    <row r="671" spans="1:21" x14ac:dyDescent="0.25">
      <c r="A671" t="s">
        <v>922</v>
      </c>
      <c r="B671" s="1">
        <v>45774</v>
      </c>
      <c r="C671" t="s">
        <v>221</v>
      </c>
      <c r="D671" t="s">
        <v>377</v>
      </c>
      <c r="E671" t="s">
        <v>70</v>
      </c>
      <c r="F671" t="s">
        <v>71</v>
      </c>
      <c r="G671" t="s">
        <v>22</v>
      </c>
      <c r="H671" t="s">
        <v>32</v>
      </c>
      <c r="I671" t="s">
        <v>39</v>
      </c>
      <c r="J671">
        <v>6</v>
      </c>
      <c r="K671">
        <v>1500</v>
      </c>
      <c r="L671">
        <v>10</v>
      </c>
      <c r="M671">
        <v>8100</v>
      </c>
      <c r="N671">
        <v>6300</v>
      </c>
      <c r="O671">
        <v>1800</v>
      </c>
      <c r="P671" t="s">
        <v>54</v>
      </c>
      <c r="Q671" t="s">
        <v>76</v>
      </c>
      <c r="R671" t="str">
        <f>TEXT(SalesData[[#This Row],[Order Date]],"mmm")</f>
        <v>Apr</v>
      </c>
      <c r="S671" s="2" t="str">
        <f>"Q"&amp;ROUNDUP(MONTH(SalesData[[#This Row],[Order Date]])/3,0)</f>
        <v>Q2</v>
      </c>
      <c r="T671">
        <f>YEAR(SalesData[[#This Row],[Order Date]])</f>
        <v>2025</v>
      </c>
      <c r="U671">
        <f>SalesData[[#This Row],[Profit]]/SalesData[[#This Row],[Sales]]</f>
        <v>0.22222222222222221</v>
      </c>
    </row>
    <row r="672" spans="1:21" x14ac:dyDescent="0.25">
      <c r="A672" t="s">
        <v>923</v>
      </c>
      <c r="B672" s="1">
        <v>45744</v>
      </c>
      <c r="C672" t="s">
        <v>102</v>
      </c>
      <c r="D672" t="s">
        <v>329</v>
      </c>
      <c r="E672" t="s">
        <v>50</v>
      </c>
      <c r="F672" t="s">
        <v>51</v>
      </c>
      <c r="G672" t="s">
        <v>52</v>
      </c>
      <c r="H672" t="s">
        <v>32</v>
      </c>
      <c r="I672" t="s">
        <v>66</v>
      </c>
      <c r="J672">
        <v>7</v>
      </c>
      <c r="K672">
        <v>3200</v>
      </c>
      <c r="L672">
        <v>5</v>
      </c>
      <c r="M672">
        <v>21280</v>
      </c>
      <c r="N672">
        <v>15680</v>
      </c>
      <c r="O672">
        <v>5600.0000000000018</v>
      </c>
      <c r="P672" t="s">
        <v>25</v>
      </c>
      <c r="Q672" t="s">
        <v>33</v>
      </c>
      <c r="R672" t="str">
        <f>TEXT(SalesData[[#This Row],[Order Date]],"mmm")</f>
        <v>Mar</v>
      </c>
      <c r="S672" s="2" t="str">
        <f>"Q"&amp;ROUNDUP(MONTH(SalesData[[#This Row],[Order Date]])/3,0)</f>
        <v>Q1</v>
      </c>
      <c r="T672">
        <f>YEAR(SalesData[[#This Row],[Order Date]])</f>
        <v>2025</v>
      </c>
      <c r="U672">
        <f>SalesData[[#This Row],[Profit]]/SalesData[[#This Row],[Sales]]</f>
        <v>0.2631578947368422</v>
      </c>
    </row>
    <row r="673" spans="1:21" x14ac:dyDescent="0.25">
      <c r="A673" t="s">
        <v>924</v>
      </c>
      <c r="B673" s="1">
        <v>46021</v>
      </c>
      <c r="C673" t="s">
        <v>99</v>
      </c>
      <c r="D673" t="s">
        <v>502</v>
      </c>
      <c r="E673" t="s">
        <v>62</v>
      </c>
      <c r="F673" t="s">
        <v>63</v>
      </c>
      <c r="G673" t="s">
        <v>64</v>
      </c>
      <c r="H673" t="s">
        <v>32</v>
      </c>
      <c r="I673" t="s">
        <v>53</v>
      </c>
      <c r="J673">
        <v>6</v>
      </c>
      <c r="K673">
        <v>8500</v>
      </c>
      <c r="L673">
        <v>15</v>
      </c>
      <c r="M673">
        <v>43350</v>
      </c>
      <c r="N673">
        <v>35700</v>
      </c>
      <c r="O673">
        <v>7650</v>
      </c>
      <c r="P673" t="s">
        <v>40</v>
      </c>
      <c r="Q673" t="s">
        <v>76</v>
      </c>
      <c r="R673" t="str">
        <f>TEXT(SalesData[[#This Row],[Order Date]],"mmm")</f>
        <v>Dec</v>
      </c>
      <c r="S673" s="2" t="str">
        <f>"Q"&amp;ROUNDUP(MONTH(SalesData[[#This Row],[Order Date]])/3,0)</f>
        <v>Q4</v>
      </c>
      <c r="T673">
        <f>YEAR(SalesData[[#This Row],[Order Date]])</f>
        <v>2025</v>
      </c>
      <c r="U673">
        <f>SalesData[[#This Row],[Profit]]/SalesData[[#This Row],[Sales]]</f>
        <v>0.17647058823529413</v>
      </c>
    </row>
    <row r="674" spans="1:21" x14ac:dyDescent="0.25">
      <c r="A674" t="s">
        <v>925</v>
      </c>
      <c r="B674" s="1">
        <v>45835</v>
      </c>
      <c r="C674" t="s">
        <v>265</v>
      </c>
      <c r="D674" t="s">
        <v>179</v>
      </c>
      <c r="E674" t="s">
        <v>37</v>
      </c>
      <c r="F674" t="s">
        <v>38</v>
      </c>
      <c r="G674" t="s">
        <v>22</v>
      </c>
      <c r="H674" t="s">
        <v>46</v>
      </c>
      <c r="I674" t="s">
        <v>80</v>
      </c>
      <c r="J674">
        <v>3</v>
      </c>
      <c r="K674">
        <v>55000</v>
      </c>
      <c r="L674">
        <v>0</v>
      </c>
      <c r="M674">
        <v>165000</v>
      </c>
      <c r="N674">
        <v>115500</v>
      </c>
      <c r="O674">
        <v>49500.000000000007</v>
      </c>
      <c r="P674" t="s">
        <v>58</v>
      </c>
      <c r="Q674" t="s">
        <v>76</v>
      </c>
      <c r="R674" t="str">
        <f>TEXT(SalesData[[#This Row],[Order Date]],"mmm")</f>
        <v>Jun</v>
      </c>
      <c r="S674" s="2" t="str">
        <f>"Q"&amp;ROUNDUP(MONTH(SalesData[[#This Row],[Order Date]])/3,0)</f>
        <v>Q2</v>
      </c>
      <c r="T674">
        <f>YEAR(SalesData[[#This Row],[Order Date]])</f>
        <v>2025</v>
      </c>
      <c r="U674">
        <f>SalesData[[#This Row],[Profit]]/SalesData[[#This Row],[Sales]]</f>
        <v>0.30000000000000004</v>
      </c>
    </row>
    <row r="675" spans="1:21" x14ac:dyDescent="0.25">
      <c r="A675" t="s">
        <v>926</v>
      </c>
      <c r="B675" s="1">
        <v>45710</v>
      </c>
      <c r="C675" t="s">
        <v>613</v>
      </c>
      <c r="D675" t="s">
        <v>389</v>
      </c>
      <c r="E675" t="s">
        <v>70</v>
      </c>
      <c r="F675" t="s">
        <v>71</v>
      </c>
      <c r="G675" t="s">
        <v>22</v>
      </c>
      <c r="H675" t="s">
        <v>32</v>
      </c>
      <c r="I675" t="s">
        <v>66</v>
      </c>
      <c r="J675">
        <v>6</v>
      </c>
      <c r="K675">
        <v>1500</v>
      </c>
      <c r="L675">
        <v>20</v>
      </c>
      <c r="M675">
        <v>7200</v>
      </c>
      <c r="N675">
        <v>6300</v>
      </c>
      <c r="O675">
        <v>900</v>
      </c>
      <c r="P675" t="s">
        <v>58</v>
      </c>
      <c r="Q675" t="s">
        <v>76</v>
      </c>
      <c r="R675" t="str">
        <f>TEXT(SalesData[[#This Row],[Order Date]],"mmm")</f>
        <v>Feb</v>
      </c>
      <c r="S675" s="2" t="str">
        <f>"Q"&amp;ROUNDUP(MONTH(SalesData[[#This Row],[Order Date]])/3,0)</f>
        <v>Q1</v>
      </c>
      <c r="T675">
        <f>YEAR(SalesData[[#This Row],[Order Date]])</f>
        <v>2025</v>
      </c>
      <c r="U675">
        <f>SalesData[[#This Row],[Profit]]/SalesData[[#This Row],[Sales]]</f>
        <v>0.125</v>
      </c>
    </row>
    <row r="676" spans="1:21" x14ac:dyDescent="0.25">
      <c r="A676" t="s">
        <v>927</v>
      </c>
      <c r="B676" s="1">
        <v>45871</v>
      </c>
      <c r="C676" t="s">
        <v>74</v>
      </c>
      <c r="D676" t="s">
        <v>57</v>
      </c>
      <c r="E676" t="s">
        <v>44</v>
      </c>
      <c r="F676" t="s">
        <v>45</v>
      </c>
      <c r="G676" t="s">
        <v>22</v>
      </c>
      <c r="H676" t="s">
        <v>46</v>
      </c>
      <c r="I676" t="s">
        <v>24</v>
      </c>
      <c r="J676">
        <v>7</v>
      </c>
      <c r="K676">
        <v>9500</v>
      </c>
      <c r="L676">
        <v>20</v>
      </c>
      <c r="M676">
        <v>53200</v>
      </c>
      <c r="N676">
        <v>46550</v>
      </c>
      <c r="O676">
        <v>6650</v>
      </c>
      <c r="P676" t="s">
        <v>58</v>
      </c>
      <c r="Q676" t="s">
        <v>33</v>
      </c>
      <c r="R676" t="str">
        <f>TEXT(SalesData[[#This Row],[Order Date]],"mmm")</f>
        <v>Aug</v>
      </c>
      <c r="S676" s="2" t="str">
        <f>"Q"&amp;ROUNDUP(MONTH(SalesData[[#This Row],[Order Date]])/3,0)</f>
        <v>Q3</v>
      </c>
      <c r="T676">
        <f>YEAR(SalesData[[#This Row],[Order Date]])</f>
        <v>2025</v>
      </c>
      <c r="U676">
        <f>SalesData[[#This Row],[Profit]]/SalesData[[#This Row],[Sales]]</f>
        <v>0.125</v>
      </c>
    </row>
    <row r="677" spans="1:21" x14ac:dyDescent="0.25">
      <c r="A677" t="s">
        <v>928</v>
      </c>
      <c r="B677" s="1">
        <v>45759</v>
      </c>
      <c r="C677" t="s">
        <v>35</v>
      </c>
      <c r="D677" t="s">
        <v>177</v>
      </c>
      <c r="E677" t="s">
        <v>20</v>
      </c>
      <c r="F677" t="s">
        <v>21</v>
      </c>
      <c r="G677" t="s">
        <v>22</v>
      </c>
      <c r="H677" t="s">
        <v>23</v>
      </c>
      <c r="I677" t="s">
        <v>72</v>
      </c>
      <c r="J677">
        <v>10</v>
      </c>
      <c r="K677">
        <v>3500</v>
      </c>
      <c r="L677">
        <v>10</v>
      </c>
      <c r="M677">
        <v>31500</v>
      </c>
      <c r="N677">
        <v>24500</v>
      </c>
      <c r="O677">
        <v>7000</v>
      </c>
      <c r="P677" t="s">
        <v>25</v>
      </c>
      <c r="Q677" t="s">
        <v>33</v>
      </c>
      <c r="R677" t="str">
        <f>TEXT(SalesData[[#This Row],[Order Date]],"mmm")</f>
        <v>Apr</v>
      </c>
      <c r="S677" s="2" t="str">
        <f>"Q"&amp;ROUNDUP(MONTH(SalesData[[#This Row],[Order Date]])/3,0)</f>
        <v>Q2</v>
      </c>
      <c r="T677">
        <f>YEAR(SalesData[[#This Row],[Order Date]])</f>
        <v>2025</v>
      </c>
      <c r="U677">
        <f>SalesData[[#This Row],[Profit]]/SalesData[[#This Row],[Sales]]</f>
        <v>0.22222222222222221</v>
      </c>
    </row>
    <row r="678" spans="1:21" x14ac:dyDescent="0.25">
      <c r="A678" t="s">
        <v>929</v>
      </c>
      <c r="B678" s="1">
        <v>45884</v>
      </c>
      <c r="C678" t="s">
        <v>302</v>
      </c>
      <c r="D678" t="s">
        <v>110</v>
      </c>
      <c r="E678" t="s">
        <v>50</v>
      </c>
      <c r="F678" t="s">
        <v>51</v>
      </c>
      <c r="G678" t="s">
        <v>52</v>
      </c>
      <c r="H678" t="s">
        <v>65</v>
      </c>
      <c r="I678" t="s">
        <v>80</v>
      </c>
      <c r="J678">
        <v>6</v>
      </c>
      <c r="K678">
        <v>3200</v>
      </c>
      <c r="L678">
        <v>20</v>
      </c>
      <c r="M678">
        <v>15360</v>
      </c>
      <c r="N678">
        <v>13440</v>
      </c>
      <c r="O678">
        <v>1920</v>
      </c>
      <c r="P678" t="s">
        <v>40</v>
      </c>
      <c r="Q678" t="s">
        <v>76</v>
      </c>
      <c r="R678" t="str">
        <f>TEXT(SalesData[[#This Row],[Order Date]],"mmm")</f>
        <v>Aug</v>
      </c>
      <c r="S678" s="2" t="str">
        <f>"Q"&amp;ROUNDUP(MONTH(SalesData[[#This Row],[Order Date]])/3,0)</f>
        <v>Q3</v>
      </c>
      <c r="T678">
        <f>YEAR(SalesData[[#This Row],[Order Date]])</f>
        <v>2025</v>
      </c>
      <c r="U678">
        <f>SalesData[[#This Row],[Profit]]/SalesData[[#This Row],[Sales]]</f>
        <v>0.125</v>
      </c>
    </row>
    <row r="679" spans="1:21" x14ac:dyDescent="0.25">
      <c r="A679" t="s">
        <v>930</v>
      </c>
      <c r="B679" s="1">
        <v>45726</v>
      </c>
      <c r="C679" t="s">
        <v>118</v>
      </c>
      <c r="D679" t="s">
        <v>204</v>
      </c>
      <c r="E679" t="s">
        <v>44</v>
      </c>
      <c r="F679" t="s">
        <v>45</v>
      </c>
      <c r="G679" t="s">
        <v>22</v>
      </c>
      <c r="H679" t="s">
        <v>65</v>
      </c>
      <c r="I679" t="s">
        <v>24</v>
      </c>
      <c r="J679">
        <v>6</v>
      </c>
      <c r="K679">
        <v>9500</v>
      </c>
      <c r="L679">
        <v>10</v>
      </c>
      <c r="M679">
        <v>51300</v>
      </c>
      <c r="N679">
        <v>39900</v>
      </c>
      <c r="O679">
        <v>11400</v>
      </c>
      <c r="P679" t="s">
        <v>25</v>
      </c>
      <c r="Q679" t="s">
        <v>76</v>
      </c>
      <c r="R679" t="str">
        <f>TEXT(SalesData[[#This Row],[Order Date]],"mmm")</f>
        <v>Mar</v>
      </c>
      <c r="S679" s="2" t="str">
        <f>"Q"&amp;ROUNDUP(MONTH(SalesData[[#This Row],[Order Date]])/3,0)</f>
        <v>Q1</v>
      </c>
      <c r="T679">
        <f>YEAR(SalesData[[#This Row],[Order Date]])</f>
        <v>2025</v>
      </c>
      <c r="U679">
        <f>SalesData[[#This Row],[Profit]]/SalesData[[#This Row],[Sales]]</f>
        <v>0.22222222222222221</v>
      </c>
    </row>
    <row r="680" spans="1:21" x14ac:dyDescent="0.25">
      <c r="A680" t="s">
        <v>931</v>
      </c>
      <c r="B680" s="1">
        <v>45959</v>
      </c>
      <c r="C680" t="s">
        <v>159</v>
      </c>
      <c r="D680" t="s">
        <v>166</v>
      </c>
      <c r="E680" t="s">
        <v>62</v>
      </c>
      <c r="F680" t="s">
        <v>63</v>
      </c>
      <c r="G680" t="s">
        <v>64</v>
      </c>
      <c r="H680" t="s">
        <v>23</v>
      </c>
      <c r="I680" t="s">
        <v>72</v>
      </c>
      <c r="J680">
        <v>4</v>
      </c>
      <c r="K680">
        <v>8500</v>
      </c>
      <c r="L680">
        <v>15</v>
      </c>
      <c r="M680">
        <v>28900</v>
      </c>
      <c r="N680">
        <v>23800</v>
      </c>
      <c r="O680">
        <v>5100</v>
      </c>
      <c r="P680" t="s">
        <v>58</v>
      </c>
      <c r="Q680" t="s">
        <v>26</v>
      </c>
      <c r="R680" t="str">
        <f>TEXT(SalesData[[#This Row],[Order Date]],"mmm")</f>
        <v>Oct</v>
      </c>
      <c r="S680" s="2" t="str">
        <f>"Q"&amp;ROUNDUP(MONTH(SalesData[[#This Row],[Order Date]])/3,0)</f>
        <v>Q4</v>
      </c>
      <c r="T680">
        <f>YEAR(SalesData[[#This Row],[Order Date]])</f>
        <v>2025</v>
      </c>
      <c r="U680">
        <f>SalesData[[#This Row],[Profit]]/SalesData[[#This Row],[Sales]]</f>
        <v>0.17647058823529413</v>
      </c>
    </row>
    <row r="681" spans="1:21" x14ac:dyDescent="0.25">
      <c r="A681" t="s">
        <v>932</v>
      </c>
      <c r="B681" s="1">
        <v>45756</v>
      </c>
      <c r="C681" t="s">
        <v>150</v>
      </c>
      <c r="D681" t="s">
        <v>262</v>
      </c>
      <c r="E681" t="s">
        <v>62</v>
      </c>
      <c r="F681" t="s">
        <v>63</v>
      </c>
      <c r="G681" t="s">
        <v>64</v>
      </c>
      <c r="H681" t="s">
        <v>65</v>
      </c>
      <c r="I681" t="s">
        <v>24</v>
      </c>
      <c r="J681">
        <v>4</v>
      </c>
      <c r="K681">
        <v>8500</v>
      </c>
      <c r="L681">
        <v>20</v>
      </c>
      <c r="M681">
        <v>27200</v>
      </c>
      <c r="N681">
        <v>23800</v>
      </c>
      <c r="O681">
        <v>3400</v>
      </c>
      <c r="P681" t="s">
        <v>54</v>
      </c>
      <c r="Q681" t="s">
        <v>76</v>
      </c>
      <c r="R681" t="str">
        <f>TEXT(SalesData[[#This Row],[Order Date]],"mmm")</f>
        <v>Apr</v>
      </c>
      <c r="S681" s="2" t="str">
        <f>"Q"&amp;ROUNDUP(MONTH(SalesData[[#This Row],[Order Date]])/3,0)</f>
        <v>Q2</v>
      </c>
      <c r="T681">
        <f>YEAR(SalesData[[#This Row],[Order Date]])</f>
        <v>2025</v>
      </c>
      <c r="U681">
        <f>SalesData[[#This Row],[Profit]]/SalesData[[#This Row],[Sales]]</f>
        <v>0.125</v>
      </c>
    </row>
    <row r="682" spans="1:21" x14ac:dyDescent="0.25">
      <c r="A682" t="s">
        <v>933</v>
      </c>
      <c r="B682" s="1">
        <v>45800</v>
      </c>
      <c r="C682" t="s">
        <v>365</v>
      </c>
      <c r="D682" t="s">
        <v>108</v>
      </c>
      <c r="E682" t="s">
        <v>30</v>
      </c>
      <c r="F682" t="s">
        <v>31</v>
      </c>
      <c r="G682" t="s">
        <v>22</v>
      </c>
      <c r="H682" t="s">
        <v>65</v>
      </c>
      <c r="I682" t="s">
        <v>24</v>
      </c>
      <c r="J682">
        <v>9</v>
      </c>
      <c r="K682">
        <v>800</v>
      </c>
      <c r="L682">
        <v>5</v>
      </c>
      <c r="M682">
        <v>6840</v>
      </c>
      <c r="N682">
        <v>5040</v>
      </c>
      <c r="O682">
        <v>1800</v>
      </c>
      <c r="P682" t="s">
        <v>40</v>
      </c>
      <c r="Q682" t="s">
        <v>33</v>
      </c>
      <c r="R682" t="str">
        <f>TEXT(SalesData[[#This Row],[Order Date]],"mmm")</f>
        <v>May</v>
      </c>
      <c r="S682" s="2" t="str">
        <f>"Q"&amp;ROUNDUP(MONTH(SalesData[[#This Row],[Order Date]])/3,0)</f>
        <v>Q2</v>
      </c>
      <c r="T682">
        <f>YEAR(SalesData[[#This Row],[Order Date]])</f>
        <v>2025</v>
      </c>
      <c r="U682">
        <f>SalesData[[#This Row],[Profit]]/SalesData[[#This Row],[Sales]]</f>
        <v>0.26315789473684209</v>
      </c>
    </row>
    <row r="683" spans="1:21" x14ac:dyDescent="0.25">
      <c r="A683" t="s">
        <v>934</v>
      </c>
      <c r="B683" s="1">
        <v>45864</v>
      </c>
      <c r="C683" t="s">
        <v>469</v>
      </c>
      <c r="D683" t="s">
        <v>224</v>
      </c>
      <c r="E683" t="s">
        <v>44</v>
      </c>
      <c r="F683" t="s">
        <v>45</v>
      </c>
      <c r="G683" t="s">
        <v>22</v>
      </c>
      <c r="H683" t="s">
        <v>23</v>
      </c>
      <c r="I683" t="s">
        <v>80</v>
      </c>
      <c r="J683">
        <v>6</v>
      </c>
      <c r="K683">
        <v>9500</v>
      </c>
      <c r="L683">
        <v>20</v>
      </c>
      <c r="M683">
        <v>45600</v>
      </c>
      <c r="N683">
        <v>39900</v>
      </c>
      <c r="O683">
        <v>5700</v>
      </c>
      <c r="P683" t="s">
        <v>54</v>
      </c>
      <c r="Q683" t="s">
        <v>76</v>
      </c>
      <c r="R683" t="str">
        <f>TEXT(SalesData[[#This Row],[Order Date]],"mmm")</f>
        <v>Jul</v>
      </c>
      <c r="S683" s="2" t="str">
        <f>"Q"&amp;ROUNDUP(MONTH(SalesData[[#This Row],[Order Date]])/3,0)</f>
        <v>Q3</v>
      </c>
      <c r="T683">
        <f>YEAR(SalesData[[#This Row],[Order Date]])</f>
        <v>2025</v>
      </c>
      <c r="U683">
        <f>SalesData[[#This Row],[Profit]]/SalesData[[#This Row],[Sales]]</f>
        <v>0.125</v>
      </c>
    </row>
    <row r="684" spans="1:21" x14ac:dyDescent="0.25">
      <c r="A684" t="s">
        <v>935</v>
      </c>
      <c r="B684" s="1">
        <v>45856</v>
      </c>
      <c r="C684" t="s">
        <v>150</v>
      </c>
      <c r="D684" t="s">
        <v>773</v>
      </c>
      <c r="E684" t="s">
        <v>30</v>
      </c>
      <c r="F684" t="s">
        <v>31</v>
      </c>
      <c r="G684" t="s">
        <v>22</v>
      </c>
      <c r="H684" t="s">
        <v>65</v>
      </c>
      <c r="I684" t="s">
        <v>80</v>
      </c>
      <c r="J684">
        <v>8</v>
      </c>
      <c r="K684">
        <v>800</v>
      </c>
      <c r="L684">
        <v>15</v>
      </c>
      <c r="M684">
        <v>5440</v>
      </c>
      <c r="N684">
        <v>4480</v>
      </c>
      <c r="O684">
        <v>960</v>
      </c>
      <c r="P684" t="s">
        <v>58</v>
      </c>
      <c r="Q684" t="s">
        <v>33</v>
      </c>
      <c r="R684" t="str">
        <f>TEXT(SalesData[[#This Row],[Order Date]],"mmm")</f>
        <v>Jul</v>
      </c>
      <c r="S684" s="2" t="str">
        <f>"Q"&amp;ROUNDUP(MONTH(SalesData[[#This Row],[Order Date]])/3,0)</f>
        <v>Q3</v>
      </c>
      <c r="T684">
        <f>YEAR(SalesData[[#This Row],[Order Date]])</f>
        <v>2025</v>
      </c>
      <c r="U684">
        <f>SalesData[[#This Row],[Profit]]/SalesData[[#This Row],[Sales]]</f>
        <v>0.17647058823529413</v>
      </c>
    </row>
    <row r="685" spans="1:21" x14ac:dyDescent="0.25">
      <c r="A685" t="s">
        <v>936</v>
      </c>
      <c r="B685" s="1">
        <v>45939</v>
      </c>
      <c r="C685" t="s">
        <v>242</v>
      </c>
      <c r="D685" t="s">
        <v>179</v>
      </c>
      <c r="E685" t="s">
        <v>50</v>
      </c>
      <c r="F685" t="s">
        <v>51</v>
      </c>
      <c r="G685" t="s">
        <v>52</v>
      </c>
      <c r="H685" t="s">
        <v>46</v>
      </c>
      <c r="I685" t="s">
        <v>53</v>
      </c>
      <c r="J685">
        <v>6</v>
      </c>
      <c r="K685">
        <v>3200</v>
      </c>
      <c r="L685">
        <v>20</v>
      </c>
      <c r="M685">
        <v>15360</v>
      </c>
      <c r="N685">
        <v>13440</v>
      </c>
      <c r="O685">
        <v>1920</v>
      </c>
      <c r="P685" t="s">
        <v>25</v>
      </c>
      <c r="Q685" t="s">
        <v>76</v>
      </c>
      <c r="R685" t="str">
        <f>TEXT(SalesData[[#This Row],[Order Date]],"mmm")</f>
        <v>Oct</v>
      </c>
      <c r="S685" s="2" t="str">
        <f>"Q"&amp;ROUNDUP(MONTH(SalesData[[#This Row],[Order Date]])/3,0)</f>
        <v>Q4</v>
      </c>
      <c r="T685">
        <f>YEAR(SalesData[[#This Row],[Order Date]])</f>
        <v>2025</v>
      </c>
      <c r="U685">
        <f>SalesData[[#This Row],[Profit]]/SalesData[[#This Row],[Sales]]</f>
        <v>0.125</v>
      </c>
    </row>
    <row r="686" spans="1:21" x14ac:dyDescent="0.25">
      <c r="A686" t="s">
        <v>937</v>
      </c>
      <c r="B686" s="1">
        <v>45800</v>
      </c>
      <c r="C686" t="s">
        <v>28</v>
      </c>
      <c r="D686" t="s">
        <v>275</v>
      </c>
      <c r="E686" t="s">
        <v>37</v>
      </c>
      <c r="F686" t="s">
        <v>38</v>
      </c>
      <c r="G686" t="s">
        <v>22</v>
      </c>
      <c r="H686" t="s">
        <v>65</v>
      </c>
      <c r="I686" t="s">
        <v>24</v>
      </c>
      <c r="J686">
        <v>2</v>
      </c>
      <c r="K686">
        <v>55000</v>
      </c>
      <c r="L686">
        <v>15</v>
      </c>
      <c r="M686">
        <v>93500</v>
      </c>
      <c r="N686">
        <v>77000</v>
      </c>
      <c r="O686">
        <v>16500</v>
      </c>
      <c r="P686" t="s">
        <v>40</v>
      </c>
      <c r="Q686" t="s">
        <v>76</v>
      </c>
      <c r="R686" t="str">
        <f>TEXT(SalesData[[#This Row],[Order Date]],"mmm")</f>
        <v>May</v>
      </c>
      <c r="S686" s="2" t="str">
        <f>"Q"&amp;ROUNDUP(MONTH(SalesData[[#This Row],[Order Date]])/3,0)</f>
        <v>Q2</v>
      </c>
      <c r="T686">
        <f>YEAR(SalesData[[#This Row],[Order Date]])</f>
        <v>2025</v>
      </c>
      <c r="U686">
        <f>SalesData[[#This Row],[Profit]]/SalesData[[#This Row],[Sales]]</f>
        <v>0.17647058823529413</v>
      </c>
    </row>
    <row r="687" spans="1:21" x14ac:dyDescent="0.25">
      <c r="A687" t="s">
        <v>938</v>
      </c>
      <c r="B687" s="1">
        <v>45666</v>
      </c>
      <c r="C687" t="s">
        <v>466</v>
      </c>
      <c r="D687" t="s">
        <v>377</v>
      </c>
      <c r="E687" t="s">
        <v>93</v>
      </c>
      <c r="F687" t="s">
        <v>94</v>
      </c>
      <c r="G687" t="s">
        <v>64</v>
      </c>
      <c r="H687" t="s">
        <v>32</v>
      </c>
      <c r="I687" t="s">
        <v>24</v>
      </c>
      <c r="J687">
        <v>4</v>
      </c>
      <c r="K687">
        <v>4500</v>
      </c>
      <c r="L687">
        <v>5</v>
      </c>
      <c r="M687">
        <v>17100</v>
      </c>
      <c r="N687">
        <v>12600</v>
      </c>
      <c r="O687">
        <v>4500</v>
      </c>
      <c r="P687" t="s">
        <v>25</v>
      </c>
      <c r="Q687" t="s">
        <v>33</v>
      </c>
      <c r="R687" t="str">
        <f>TEXT(SalesData[[#This Row],[Order Date]],"mmm")</f>
        <v>Jan</v>
      </c>
      <c r="S687" s="2" t="str">
        <f>"Q"&amp;ROUNDUP(MONTH(SalesData[[#This Row],[Order Date]])/3,0)</f>
        <v>Q1</v>
      </c>
      <c r="T687">
        <f>YEAR(SalesData[[#This Row],[Order Date]])</f>
        <v>2025</v>
      </c>
      <c r="U687">
        <f>SalesData[[#This Row],[Profit]]/SalesData[[#This Row],[Sales]]</f>
        <v>0.26315789473684209</v>
      </c>
    </row>
    <row r="688" spans="1:21" x14ac:dyDescent="0.25">
      <c r="A688" t="s">
        <v>939</v>
      </c>
      <c r="B688" s="1">
        <v>45853</v>
      </c>
      <c r="C688" t="s">
        <v>381</v>
      </c>
      <c r="D688" t="s">
        <v>128</v>
      </c>
      <c r="E688" t="s">
        <v>37</v>
      </c>
      <c r="F688" t="s">
        <v>38</v>
      </c>
      <c r="G688" t="s">
        <v>22</v>
      </c>
      <c r="H688" t="s">
        <v>65</v>
      </c>
      <c r="I688" t="s">
        <v>80</v>
      </c>
      <c r="J688">
        <v>2</v>
      </c>
      <c r="K688">
        <v>55000</v>
      </c>
      <c r="L688">
        <v>10</v>
      </c>
      <c r="M688">
        <v>99000</v>
      </c>
      <c r="N688">
        <v>77000</v>
      </c>
      <c r="O688">
        <v>22000</v>
      </c>
      <c r="P688" t="s">
        <v>54</v>
      </c>
      <c r="Q688" t="s">
        <v>26</v>
      </c>
      <c r="R688" t="str">
        <f>TEXT(SalesData[[#This Row],[Order Date]],"mmm")</f>
        <v>Jul</v>
      </c>
      <c r="S688" s="2" t="str">
        <f>"Q"&amp;ROUNDUP(MONTH(SalesData[[#This Row],[Order Date]])/3,0)</f>
        <v>Q3</v>
      </c>
      <c r="T688">
        <f>YEAR(SalesData[[#This Row],[Order Date]])</f>
        <v>2025</v>
      </c>
      <c r="U688">
        <f>SalesData[[#This Row],[Profit]]/SalesData[[#This Row],[Sales]]</f>
        <v>0.22222222222222221</v>
      </c>
    </row>
    <row r="689" spans="1:21" x14ac:dyDescent="0.25">
      <c r="A689" t="s">
        <v>940</v>
      </c>
      <c r="B689" s="1">
        <v>45874</v>
      </c>
      <c r="C689" t="s">
        <v>48</v>
      </c>
      <c r="D689" t="s">
        <v>275</v>
      </c>
      <c r="E689" t="s">
        <v>70</v>
      </c>
      <c r="F689" t="s">
        <v>71</v>
      </c>
      <c r="G689" t="s">
        <v>22</v>
      </c>
      <c r="H689" t="s">
        <v>46</v>
      </c>
      <c r="I689" t="s">
        <v>53</v>
      </c>
      <c r="J689">
        <v>3</v>
      </c>
      <c r="K689">
        <v>1500</v>
      </c>
      <c r="L689">
        <v>10</v>
      </c>
      <c r="M689">
        <v>4050</v>
      </c>
      <c r="N689">
        <v>3150</v>
      </c>
      <c r="O689">
        <v>900</v>
      </c>
      <c r="P689" t="s">
        <v>54</v>
      </c>
      <c r="Q689" t="s">
        <v>76</v>
      </c>
      <c r="R689" t="str">
        <f>TEXT(SalesData[[#This Row],[Order Date]],"mmm")</f>
        <v>Aug</v>
      </c>
      <c r="S689" s="2" t="str">
        <f>"Q"&amp;ROUNDUP(MONTH(SalesData[[#This Row],[Order Date]])/3,0)</f>
        <v>Q3</v>
      </c>
      <c r="T689">
        <f>YEAR(SalesData[[#This Row],[Order Date]])</f>
        <v>2025</v>
      </c>
      <c r="U689">
        <f>SalesData[[#This Row],[Profit]]/SalesData[[#This Row],[Sales]]</f>
        <v>0.22222222222222221</v>
      </c>
    </row>
    <row r="690" spans="1:21" x14ac:dyDescent="0.25">
      <c r="A690" t="s">
        <v>941</v>
      </c>
      <c r="B690" s="1">
        <v>45912</v>
      </c>
      <c r="C690" t="s">
        <v>250</v>
      </c>
      <c r="D690" t="s">
        <v>174</v>
      </c>
      <c r="E690" t="s">
        <v>62</v>
      </c>
      <c r="F690" t="s">
        <v>63</v>
      </c>
      <c r="G690" t="s">
        <v>64</v>
      </c>
      <c r="H690" t="s">
        <v>23</v>
      </c>
      <c r="I690" t="s">
        <v>53</v>
      </c>
      <c r="J690">
        <v>1</v>
      </c>
      <c r="K690">
        <v>8500</v>
      </c>
      <c r="L690">
        <v>10</v>
      </c>
      <c r="M690">
        <v>7650</v>
      </c>
      <c r="N690">
        <v>5950</v>
      </c>
      <c r="O690">
        <v>1700</v>
      </c>
      <c r="P690" t="s">
        <v>40</v>
      </c>
      <c r="Q690" t="s">
        <v>76</v>
      </c>
      <c r="R690" t="str">
        <f>TEXT(SalesData[[#This Row],[Order Date]],"mmm")</f>
        <v>Sep</v>
      </c>
      <c r="S690" s="2" t="str">
        <f>"Q"&amp;ROUNDUP(MONTH(SalesData[[#This Row],[Order Date]])/3,0)</f>
        <v>Q3</v>
      </c>
      <c r="T690">
        <f>YEAR(SalesData[[#This Row],[Order Date]])</f>
        <v>2025</v>
      </c>
      <c r="U690">
        <f>SalesData[[#This Row],[Profit]]/SalesData[[#This Row],[Sales]]</f>
        <v>0.22222222222222221</v>
      </c>
    </row>
    <row r="691" spans="1:21" x14ac:dyDescent="0.25">
      <c r="A691" t="s">
        <v>942</v>
      </c>
      <c r="B691" s="1">
        <v>45803</v>
      </c>
      <c r="C691" t="s">
        <v>277</v>
      </c>
      <c r="D691" t="s">
        <v>209</v>
      </c>
      <c r="E691" t="s">
        <v>30</v>
      </c>
      <c r="F691" t="s">
        <v>31</v>
      </c>
      <c r="G691" t="s">
        <v>22</v>
      </c>
      <c r="H691" t="s">
        <v>32</v>
      </c>
      <c r="I691" t="s">
        <v>53</v>
      </c>
      <c r="J691">
        <v>8</v>
      </c>
      <c r="K691">
        <v>800</v>
      </c>
      <c r="L691">
        <v>15</v>
      </c>
      <c r="M691">
        <v>5440</v>
      </c>
      <c r="N691">
        <v>4480</v>
      </c>
      <c r="O691">
        <v>960</v>
      </c>
      <c r="P691" t="s">
        <v>54</v>
      </c>
      <c r="Q691" t="s">
        <v>33</v>
      </c>
      <c r="R691" t="str">
        <f>TEXT(SalesData[[#This Row],[Order Date]],"mmm")</f>
        <v>May</v>
      </c>
      <c r="S691" s="2" t="str">
        <f>"Q"&amp;ROUNDUP(MONTH(SalesData[[#This Row],[Order Date]])/3,0)</f>
        <v>Q2</v>
      </c>
      <c r="T691">
        <f>YEAR(SalesData[[#This Row],[Order Date]])</f>
        <v>2025</v>
      </c>
      <c r="U691">
        <f>SalesData[[#This Row],[Profit]]/SalesData[[#This Row],[Sales]]</f>
        <v>0.17647058823529413</v>
      </c>
    </row>
    <row r="692" spans="1:21" x14ac:dyDescent="0.25">
      <c r="A692" t="s">
        <v>943</v>
      </c>
      <c r="B692" s="1">
        <v>45896</v>
      </c>
      <c r="C692" t="s">
        <v>381</v>
      </c>
      <c r="D692" t="s">
        <v>285</v>
      </c>
      <c r="E692" t="s">
        <v>20</v>
      </c>
      <c r="F692" t="s">
        <v>21</v>
      </c>
      <c r="G692" t="s">
        <v>22</v>
      </c>
      <c r="H692" t="s">
        <v>23</v>
      </c>
      <c r="I692" t="s">
        <v>39</v>
      </c>
      <c r="J692">
        <v>7</v>
      </c>
      <c r="K692">
        <v>3500</v>
      </c>
      <c r="L692">
        <v>0</v>
      </c>
      <c r="M692">
        <v>24500</v>
      </c>
      <c r="N692">
        <v>17150</v>
      </c>
      <c r="O692">
        <v>7350</v>
      </c>
      <c r="P692" t="s">
        <v>25</v>
      </c>
      <c r="Q692" t="s">
        <v>26</v>
      </c>
      <c r="R692" t="str">
        <f>TEXT(SalesData[[#This Row],[Order Date]],"mmm")</f>
        <v>Aug</v>
      </c>
      <c r="S692" s="2" t="str">
        <f>"Q"&amp;ROUNDUP(MONTH(SalesData[[#This Row],[Order Date]])/3,0)</f>
        <v>Q3</v>
      </c>
      <c r="T692">
        <f>YEAR(SalesData[[#This Row],[Order Date]])</f>
        <v>2025</v>
      </c>
      <c r="U692">
        <f>SalesData[[#This Row],[Profit]]/SalesData[[#This Row],[Sales]]</f>
        <v>0.3</v>
      </c>
    </row>
    <row r="693" spans="1:21" x14ac:dyDescent="0.25">
      <c r="A693" t="s">
        <v>944</v>
      </c>
      <c r="B693" s="1">
        <v>45695</v>
      </c>
      <c r="C693" t="s">
        <v>345</v>
      </c>
      <c r="D693" t="s">
        <v>389</v>
      </c>
      <c r="E693" t="s">
        <v>37</v>
      </c>
      <c r="F693" t="s">
        <v>38</v>
      </c>
      <c r="G693" t="s">
        <v>22</v>
      </c>
      <c r="H693" t="s">
        <v>32</v>
      </c>
      <c r="I693" t="s">
        <v>39</v>
      </c>
      <c r="J693">
        <v>10</v>
      </c>
      <c r="K693">
        <v>55000</v>
      </c>
      <c r="L693">
        <v>0</v>
      </c>
      <c r="M693">
        <v>550000</v>
      </c>
      <c r="N693">
        <v>385000</v>
      </c>
      <c r="O693">
        <v>165000</v>
      </c>
      <c r="P693" t="s">
        <v>54</v>
      </c>
      <c r="Q693" t="s">
        <v>33</v>
      </c>
      <c r="R693" t="str">
        <f>TEXT(SalesData[[#This Row],[Order Date]],"mmm")</f>
        <v>Feb</v>
      </c>
      <c r="S693" s="2" t="str">
        <f>"Q"&amp;ROUNDUP(MONTH(SalesData[[#This Row],[Order Date]])/3,0)</f>
        <v>Q1</v>
      </c>
      <c r="T693">
        <f>YEAR(SalesData[[#This Row],[Order Date]])</f>
        <v>2025</v>
      </c>
      <c r="U693">
        <f>SalesData[[#This Row],[Profit]]/SalesData[[#This Row],[Sales]]</f>
        <v>0.3</v>
      </c>
    </row>
    <row r="694" spans="1:21" x14ac:dyDescent="0.25">
      <c r="A694" t="s">
        <v>945</v>
      </c>
      <c r="B694" s="1">
        <v>45993</v>
      </c>
      <c r="C694" t="s">
        <v>252</v>
      </c>
      <c r="D694" t="s">
        <v>153</v>
      </c>
      <c r="E694" t="s">
        <v>44</v>
      </c>
      <c r="F694" t="s">
        <v>45</v>
      </c>
      <c r="G694" t="s">
        <v>22</v>
      </c>
      <c r="H694" t="s">
        <v>23</v>
      </c>
      <c r="I694" t="s">
        <v>80</v>
      </c>
      <c r="J694">
        <v>8</v>
      </c>
      <c r="K694">
        <v>9500</v>
      </c>
      <c r="L694">
        <v>15</v>
      </c>
      <c r="M694">
        <v>64600</v>
      </c>
      <c r="N694">
        <v>53200</v>
      </c>
      <c r="O694">
        <v>11400</v>
      </c>
      <c r="P694" t="s">
        <v>58</v>
      </c>
      <c r="Q694" t="s">
        <v>33</v>
      </c>
      <c r="R694" t="str">
        <f>TEXT(SalesData[[#This Row],[Order Date]],"mmm")</f>
        <v>Dec</v>
      </c>
      <c r="S694" s="2" t="str">
        <f>"Q"&amp;ROUNDUP(MONTH(SalesData[[#This Row],[Order Date]])/3,0)</f>
        <v>Q4</v>
      </c>
      <c r="T694">
        <f>YEAR(SalesData[[#This Row],[Order Date]])</f>
        <v>2025</v>
      </c>
      <c r="U694">
        <f>SalesData[[#This Row],[Profit]]/SalesData[[#This Row],[Sales]]</f>
        <v>0.17647058823529413</v>
      </c>
    </row>
    <row r="695" spans="1:21" x14ac:dyDescent="0.25">
      <c r="A695" t="s">
        <v>946</v>
      </c>
      <c r="B695" s="1">
        <v>45705</v>
      </c>
      <c r="C695" t="s">
        <v>376</v>
      </c>
      <c r="D695" t="s">
        <v>505</v>
      </c>
      <c r="E695" t="s">
        <v>70</v>
      </c>
      <c r="F695" t="s">
        <v>71</v>
      </c>
      <c r="G695" t="s">
        <v>22</v>
      </c>
      <c r="H695" t="s">
        <v>23</v>
      </c>
      <c r="I695" t="s">
        <v>53</v>
      </c>
      <c r="J695">
        <v>5</v>
      </c>
      <c r="K695">
        <v>1500</v>
      </c>
      <c r="L695">
        <v>20</v>
      </c>
      <c r="M695">
        <v>6000</v>
      </c>
      <c r="N695">
        <v>5250</v>
      </c>
      <c r="O695">
        <v>750</v>
      </c>
      <c r="P695" t="s">
        <v>58</v>
      </c>
      <c r="Q695" t="s">
        <v>33</v>
      </c>
      <c r="R695" t="str">
        <f>TEXT(SalesData[[#This Row],[Order Date]],"mmm")</f>
        <v>Feb</v>
      </c>
      <c r="S695" s="2" t="str">
        <f>"Q"&amp;ROUNDUP(MONTH(SalesData[[#This Row],[Order Date]])/3,0)</f>
        <v>Q1</v>
      </c>
      <c r="T695">
        <f>YEAR(SalesData[[#This Row],[Order Date]])</f>
        <v>2025</v>
      </c>
      <c r="U695">
        <f>SalesData[[#This Row],[Profit]]/SalesData[[#This Row],[Sales]]</f>
        <v>0.125</v>
      </c>
    </row>
    <row r="696" spans="1:21" x14ac:dyDescent="0.25">
      <c r="A696" t="s">
        <v>947</v>
      </c>
      <c r="B696" s="1">
        <v>45987</v>
      </c>
      <c r="C696" t="s">
        <v>381</v>
      </c>
      <c r="D696" t="s">
        <v>224</v>
      </c>
      <c r="E696" t="s">
        <v>50</v>
      </c>
      <c r="F696" t="s">
        <v>51</v>
      </c>
      <c r="G696" t="s">
        <v>52</v>
      </c>
      <c r="H696" t="s">
        <v>65</v>
      </c>
      <c r="I696" t="s">
        <v>66</v>
      </c>
      <c r="J696">
        <v>7</v>
      </c>
      <c r="K696">
        <v>3200</v>
      </c>
      <c r="L696">
        <v>15</v>
      </c>
      <c r="M696">
        <v>19040</v>
      </c>
      <c r="N696">
        <v>15680</v>
      </c>
      <c r="O696">
        <v>3360.0000000000018</v>
      </c>
      <c r="P696" t="s">
        <v>25</v>
      </c>
      <c r="Q696" t="s">
        <v>76</v>
      </c>
      <c r="R696" t="str">
        <f>TEXT(SalesData[[#This Row],[Order Date]],"mmm")</f>
        <v>Nov</v>
      </c>
      <c r="S696" s="2" t="str">
        <f>"Q"&amp;ROUNDUP(MONTH(SalesData[[#This Row],[Order Date]])/3,0)</f>
        <v>Q4</v>
      </c>
      <c r="T696">
        <f>YEAR(SalesData[[#This Row],[Order Date]])</f>
        <v>2025</v>
      </c>
      <c r="U696">
        <f>SalesData[[#This Row],[Profit]]/SalesData[[#This Row],[Sales]]</f>
        <v>0.17647058823529421</v>
      </c>
    </row>
    <row r="697" spans="1:21" x14ac:dyDescent="0.25">
      <c r="A697" t="s">
        <v>948</v>
      </c>
      <c r="B697" s="1">
        <v>45806</v>
      </c>
      <c r="C697" t="s">
        <v>381</v>
      </c>
      <c r="D697" t="s">
        <v>119</v>
      </c>
      <c r="E697" t="s">
        <v>37</v>
      </c>
      <c r="F697" t="s">
        <v>38</v>
      </c>
      <c r="G697" t="s">
        <v>22</v>
      </c>
      <c r="H697" t="s">
        <v>23</v>
      </c>
      <c r="I697" t="s">
        <v>72</v>
      </c>
      <c r="J697">
        <v>7</v>
      </c>
      <c r="K697">
        <v>55000</v>
      </c>
      <c r="L697">
        <v>10</v>
      </c>
      <c r="M697">
        <v>346500</v>
      </c>
      <c r="N697">
        <v>269500</v>
      </c>
      <c r="O697">
        <v>77000</v>
      </c>
      <c r="P697" t="s">
        <v>54</v>
      </c>
      <c r="Q697" t="s">
        <v>76</v>
      </c>
      <c r="R697" t="str">
        <f>TEXT(SalesData[[#This Row],[Order Date]],"mmm")</f>
        <v>May</v>
      </c>
      <c r="S697" s="2" t="str">
        <f>"Q"&amp;ROUNDUP(MONTH(SalesData[[#This Row],[Order Date]])/3,0)</f>
        <v>Q2</v>
      </c>
      <c r="T697">
        <f>YEAR(SalesData[[#This Row],[Order Date]])</f>
        <v>2025</v>
      </c>
      <c r="U697">
        <f>SalesData[[#This Row],[Profit]]/SalesData[[#This Row],[Sales]]</f>
        <v>0.22222222222222221</v>
      </c>
    </row>
    <row r="698" spans="1:21" x14ac:dyDescent="0.25">
      <c r="A698" t="s">
        <v>949</v>
      </c>
      <c r="B698" s="1">
        <v>45797</v>
      </c>
      <c r="C698" t="s">
        <v>118</v>
      </c>
      <c r="D698" t="s">
        <v>108</v>
      </c>
      <c r="E698" t="s">
        <v>70</v>
      </c>
      <c r="F698" t="s">
        <v>71</v>
      </c>
      <c r="G698" t="s">
        <v>22</v>
      </c>
      <c r="H698" t="s">
        <v>46</v>
      </c>
      <c r="I698" t="s">
        <v>39</v>
      </c>
      <c r="J698">
        <v>6</v>
      </c>
      <c r="K698">
        <v>1500</v>
      </c>
      <c r="L698">
        <v>5</v>
      </c>
      <c r="M698">
        <v>8550</v>
      </c>
      <c r="N698">
        <v>6300</v>
      </c>
      <c r="O698">
        <v>2250</v>
      </c>
      <c r="P698" t="s">
        <v>40</v>
      </c>
      <c r="Q698" t="s">
        <v>76</v>
      </c>
      <c r="R698" t="str">
        <f>TEXT(SalesData[[#This Row],[Order Date]],"mmm")</f>
        <v>May</v>
      </c>
      <c r="S698" s="2" t="str">
        <f>"Q"&amp;ROUNDUP(MONTH(SalesData[[#This Row],[Order Date]])/3,0)</f>
        <v>Q2</v>
      </c>
      <c r="T698">
        <f>YEAR(SalesData[[#This Row],[Order Date]])</f>
        <v>2025</v>
      </c>
      <c r="U698">
        <f>SalesData[[#This Row],[Profit]]/SalesData[[#This Row],[Sales]]</f>
        <v>0.26315789473684209</v>
      </c>
    </row>
    <row r="699" spans="1:21" x14ac:dyDescent="0.25">
      <c r="A699" t="s">
        <v>950</v>
      </c>
      <c r="B699" s="1">
        <v>45888</v>
      </c>
      <c r="C699" t="s">
        <v>232</v>
      </c>
      <c r="D699" t="s">
        <v>505</v>
      </c>
      <c r="E699" t="s">
        <v>93</v>
      </c>
      <c r="F699" t="s">
        <v>94</v>
      </c>
      <c r="G699" t="s">
        <v>64</v>
      </c>
      <c r="H699" t="s">
        <v>65</v>
      </c>
      <c r="I699" t="s">
        <v>66</v>
      </c>
      <c r="J699">
        <v>8</v>
      </c>
      <c r="K699">
        <v>4500</v>
      </c>
      <c r="L699">
        <v>20</v>
      </c>
      <c r="M699">
        <v>28800</v>
      </c>
      <c r="N699">
        <v>25200</v>
      </c>
      <c r="O699">
        <v>3600</v>
      </c>
      <c r="P699" t="s">
        <v>40</v>
      </c>
      <c r="Q699" t="s">
        <v>26</v>
      </c>
      <c r="R699" t="str">
        <f>TEXT(SalesData[[#This Row],[Order Date]],"mmm")</f>
        <v>Aug</v>
      </c>
      <c r="S699" s="2" t="str">
        <f>"Q"&amp;ROUNDUP(MONTH(SalesData[[#This Row],[Order Date]])/3,0)</f>
        <v>Q3</v>
      </c>
      <c r="T699">
        <f>YEAR(SalesData[[#This Row],[Order Date]])</f>
        <v>2025</v>
      </c>
      <c r="U699">
        <f>SalesData[[#This Row],[Profit]]/SalesData[[#This Row],[Sales]]</f>
        <v>0.125</v>
      </c>
    </row>
    <row r="700" spans="1:21" x14ac:dyDescent="0.25">
      <c r="A700" t="s">
        <v>951</v>
      </c>
      <c r="B700" s="1">
        <v>45843</v>
      </c>
      <c r="C700" t="s">
        <v>68</v>
      </c>
      <c r="D700" t="s">
        <v>145</v>
      </c>
      <c r="E700" t="s">
        <v>44</v>
      </c>
      <c r="F700" t="s">
        <v>45</v>
      </c>
      <c r="G700" t="s">
        <v>22</v>
      </c>
      <c r="H700" t="s">
        <v>23</v>
      </c>
      <c r="I700" t="s">
        <v>66</v>
      </c>
      <c r="J700">
        <v>3</v>
      </c>
      <c r="K700">
        <v>9500</v>
      </c>
      <c r="L700">
        <v>20</v>
      </c>
      <c r="M700">
        <v>22800</v>
      </c>
      <c r="N700">
        <v>19950</v>
      </c>
      <c r="O700">
        <v>2850</v>
      </c>
      <c r="P700" t="s">
        <v>40</v>
      </c>
      <c r="Q700" t="s">
        <v>76</v>
      </c>
      <c r="R700" t="str">
        <f>TEXT(SalesData[[#This Row],[Order Date]],"mmm")</f>
        <v>Jul</v>
      </c>
      <c r="S700" s="2" t="str">
        <f>"Q"&amp;ROUNDUP(MONTH(SalesData[[#This Row],[Order Date]])/3,0)</f>
        <v>Q3</v>
      </c>
      <c r="T700">
        <f>YEAR(SalesData[[#This Row],[Order Date]])</f>
        <v>2025</v>
      </c>
      <c r="U700">
        <f>SalesData[[#This Row],[Profit]]/SalesData[[#This Row],[Sales]]</f>
        <v>0.125</v>
      </c>
    </row>
    <row r="701" spans="1:21" x14ac:dyDescent="0.25">
      <c r="A701" t="s">
        <v>952</v>
      </c>
      <c r="B701" s="1">
        <v>45953</v>
      </c>
      <c r="C701" t="s">
        <v>634</v>
      </c>
      <c r="D701" t="s">
        <v>171</v>
      </c>
      <c r="E701" t="s">
        <v>62</v>
      </c>
      <c r="F701" t="s">
        <v>63</v>
      </c>
      <c r="G701" t="s">
        <v>64</v>
      </c>
      <c r="H701" t="s">
        <v>32</v>
      </c>
      <c r="I701" t="s">
        <v>72</v>
      </c>
      <c r="J701">
        <v>8</v>
      </c>
      <c r="K701">
        <v>8500</v>
      </c>
      <c r="L701">
        <v>15</v>
      </c>
      <c r="M701">
        <v>57800</v>
      </c>
      <c r="N701">
        <v>47600</v>
      </c>
      <c r="O701">
        <v>10200</v>
      </c>
      <c r="P701" t="s">
        <v>40</v>
      </c>
      <c r="Q701" t="s">
        <v>26</v>
      </c>
      <c r="R701" t="str">
        <f>TEXT(SalesData[[#This Row],[Order Date]],"mmm")</f>
        <v>Oct</v>
      </c>
      <c r="S701" s="2" t="str">
        <f>"Q"&amp;ROUNDUP(MONTH(SalesData[[#This Row],[Order Date]])/3,0)</f>
        <v>Q4</v>
      </c>
      <c r="T701">
        <f>YEAR(SalesData[[#This Row],[Order Date]])</f>
        <v>2025</v>
      </c>
      <c r="U701">
        <f>SalesData[[#This Row],[Profit]]/SalesData[[#This Row],[Sales]]</f>
        <v>0.17647058823529413</v>
      </c>
    </row>
    <row r="702" spans="1:21" x14ac:dyDescent="0.25">
      <c r="A702" t="s">
        <v>953</v>
      </c>
      <c r="B702" s="1">
        <v>45725</v>
      </c>
      <c r="C702" t="s">
        <v>435</v>
      </c>
      <c r="D702" t="s">
        <v>670</v>
      </c>
      <c r="E702" t="s">
        <v>44</v>
      </c>
      <c r="F702" t="s">
        <v>45</v>
      </c>
      <c r="G702" t="s">
        <v>22</v>
      </c>
      <c r="H702" t="s">
        <v>65</v>
      </c>
      <c r="I702" t="s">
        <v>24</v>
      </c>
      <c r="J702">
        <v>7</v>
      </c>
      <c r="K702">
        <v>9500</v>
      </c>
      <c r="L702">
        <v>5</v>
      </c>
      <c r="M702">
        <v>63175</v>
      </c>
      <c r="N702">
        <v>46550</v>
      </c>
      <c r="O702">
        <v>16625</v>
      </c>
      <c r="P702" t="s">
        <v>25</v>
      </c>
      <c r="Q702" t="s">
        <v>26</v>
      </c>
      <c r="R702" t="str">
        <f>TEXT(SalesData[[#This Row],[Order Date]],"mmm")</f>
        <v>Mar</v>
      </c>
      <c r="S702" s="2" t="str">
        <f>"Q"&amp;ROUNDUP(MONTH(SalesData[[#This Row],[Order Date]])/3,0)</f>
        <v>Q1</v>
      </c>
      <c r="T702">
        <f>YEAR(SalesData[[#This Row],[Order Date]])</f>
        <v>2025</v>
      </c>
      <c r="U702">
        <f>SalesData[[#This Row],[Profit]]/SalesData[[#This Row],[Sales]]</f>
        <v>0.26315789473684209</v>
      </c>
    </row>
    <row r="703" spans="1:21" x14ac:dyDescent="0.25">
      <c r="A703" t="s">
        <v>954</v>
      </c>
      <c r="B703" s="1">
        <v>46004</v>
      </c>
      <c r="C703" t="s">
        <v>157</v>
      </c>
      <c r="D703" t="s">
        <v>496</v>
      </c>
      <c r="E703" t="s">
        <v>37</v>
      </c>
      <c r="F703" t="s">
        <v>38</v>
      </c>
      <c r="G703" t="s">
        <v>22</v>
      </c>
      <c r="H703" t="s">
        <v>65</v>
      </c>
      <c r="I703" t="s">
        <v>80</v>
      </c>
      <c r="J703">
        <v>1</v>
      </c>
      <c r="K703">
        <v>55000</v>
      </c>
      <c r="L703">
        <v>5</v>
      </c>
      <c r="M703">
        <v>52250</v>
      </c>
      <c r="N703">
        <v>38500</v>
      </c>
      <c r="O703">
        <v>13750</v>
      </c>
      <c r="P703" t="s">
        <v>25</v>
      </c>
      <c r="Q703" t="s">
        <v>33</v>
      </c>
      <c r="R703" t="str">
        <f>TEXT(SalesData[[#This Row],[Order Date]],"mmm")</f>
        <v>Dec</v>
      </c>
      <c r="S703" s="2" t="str">
        <f>"Q"&amp;ROUNDUP(MONTH(SalesData[[#This Row],[Order Date]])/3,0)</f>
        <v>Q4</v>
      </c>
      <c r="T703">
        <f>YEAR(SalesData[[#This Row],[Order Date]])</f>
        <v>2025</v>
      </c>
      <c r="U703">
        <f>SalesData[[#This Row],[Profit]]/SalesData[[#This Row],[Sales]]</f>
        <v>0.26315789473684209</v>
      </c>
    </row>
    <row r="704" spans="1:21" x14ac:dyDescent="0.25">
      <c r="A704" t="s">
        <v>955</v>
      </c>
      <c r="B704" s="1">
        <v>45690</v>
      </c>
      <c r="C704" t="s">
        <v>302</v>
      </c>
      <c r="D704" t="s">
        <v>183</v>
      </c>
      <c r="E704" t="s">
        <v>20</v>
      </c>
      <c r="F704" t="s">
        <v>21</v>
      </c>
      <c r="G704" t="s">
        <v>22</v>
      </c>
      <c r="H704" t="s">
        <v>46</v>
      </c>
      <c r="I704" t="s">
        <v>72</v>
      </c>
      <c r="J704">
        <v>4</v>
      </c>
      <c r="K704">
        <v>3500</v>
      </c>
      <c r="L704">
        <v>10</v>
      </c>
      <c r="M704">
        <v>12600</v>
      </c>
      <c r="N704">
        <v>9800</v>
      </c>
      <c r="O704">
        <v>2800</v>
      </c>
      <c r="P704" t="s">
        <v>40</v>
      </c>
      <c r="Q704" t="s">
        <v>76</v>
      </c>
      <c r="R704" t="str">
        <f>TEXT(SalesData[[#This Row],[Order Date]],"mmm")</f>
        <v>Feb</v>
      </c>
      <c r="S704" s="2" t="str">
        <f>"Q"&amp;ROUNDUP(MONTH(SalesData[[#This Row],[Order Date]])/3,0)</f>
        <v>Q1</v>
      </c>
      <c r="T704">
        <f>YEAR(SalesData[[#This Row],[Order Date]])</f>
        <v>2025</v>
      </c>
      <c r="U704">
        <f>SalesData[[#This Row],[Profit]]/SalesData[[#This Row],[Sales]]</f>
        <v>0.22222222222222221</v>
      </c>
    </row>
    <row r="705" spans="1:21" x14ac:dyDescent="0.25">
      <c r="A705" t="s">
        <v>956</v>
      </c>
      <c r="B705" s="1">
        <v>45674</v>
      </c>
      <c r="C705" t="s">
        <v>457</v>
      </c>
      <c r="D705" t="s">
        <v>235</v>
      </c>
      <c r="E705" t="s">
        <v>93</v>
      </c>
      <c r="F705" t="s">
        <v>94</v>
      </c>
      <c r="G705" t="s">
        <v>64</v>
      </c>
      <c r="H705" t="s">
        <v>65</v>
      </c>
      <c r="I705" t="s">
        <v>72</v>
      </c>
      <c r="J705">
        <v>10</v>
      </c>
      <c r="K705">
        <v>4500</v>
      </c>
      <c r="L705">
        <v>20</v>
      </c>
      <c r="M705">
        <v>36000</v>
      </c>
      <c r="N705">
        <v>31500</v>
      </c>
      <c r="O705">
        <v>4500.0000000000036</v>
      </c>
      <c r="P705" t="s">
        <v>54</v>
      </c>
      <c r="Q705" t="s">
        <v>26</v>
      </c>
      <c r="R705" t="str">
        <f>TEXT(SalesData[[#This Row],[Order Date]],"mmm")</f>
        <v>Jan</v>
      </c>
      <c r="S705" s="2" t="str">
        <f>"Q"&amp;ROUNDUP(MONTH(SalesData[[#This Row],[Order Date]])/3,0)</f>
        <v>Q1</v>
      </c>
      <c r="T705">
        <f>YEAR(SalesData[[#This Row],[Order Date]])</f>
        <v>2025</v>
      </c>
      <c r="U705">
        <f>SalesData[[#This Row],[Profit]]/SalesData[[#This Row],[Sales]]</f>
        <v>0.12500000000000011</v>
      </c>
    </row>
    <row r="706" spans="1:21" x14ac:dyDescent="0.25">
      <c r="A706" t="s">
        <v>957</v>
      </c>
      <c r="B706" s="1">
        <v>45892</v>
      </c>
      <c r="C706" t="s">
        <v>229</v>
      </c>
      <c r="D706" t="s">
        <v>256</v>
      </c>
      <c r="E706" t="s">
        <v>44</v>
      </c>
      <c r="F706" t="s">
        <v>45</v>
      </c>
      <c r="G706" t="s">
        <v>22</v>
      </c>
      <c r="H706" t="s">
        <v>32</v>
      </c>
      <c r="I706" t="s">
        <v>72</v>
      </c>
      <c r="J706">
        <v>6</v>
      </c>
      <c r="K706">
        <v>9500</v>
      </c>
      <c r="L706">
        <v>0</v>
      </c>
      <c r="M706">
        <v>57000</v>
      </c>
      <c r="N706">
        <v>39900</v>
      </c>
      <c r="O706">
        <v>17100</v>
      </c>
      <c r="P706" t="s">
        <v>54</v>
      </c>
      <c r="Q706" t="s">
        <v>76</v>
      </c>
      <c r="R706" t="str">
        <f>TEXT(SalesData[[#This Row],[Order Date]],"mmm")</f>
        <v>Aug</v>
      </c>
      <c r="S706" s="2" t="str">
        <f>"Q"&amp;ROUNDUP(MONTH(SalesData[[#This Row],[Order Date]])/3,0)</f>
        <v>Q3</v>
      </c>
      <c r="T706">
        <f>YEAR(SalesData[[#This Row],[Order Date]])</f>
        <v>2025</v>
      </c>
      <c r="U706">
        <f>SalesData[[#This Row],[Profit]]/SalesData[[#This Row],[Sales]]</f>
        <v>0.3</v>
      </c>
    </row>
    <row r="707" spans="1:21" x14ac:dyDescent="0.25">
      <c r="A707" t="s">
        <v>958</v>
      </c>
      <c r="B707" s="1">
        <v>45793</v>
      </c>
      <c r="C707" t="s">
        <v>376</v>
      </c>
      <c r="D707" t="s">
        <v>179</v>
      </c>
      <c r="E707" t="s">
        <v>37</v>
      </c>
      <c r="F707" t="s">
        <v>38</v>
      </c>
      <c r="G707" t="s">
        <v>22</v>
      </c>
      <c r="H707" t="s">
        <v>23</v>
      </c>
      <c r="I707" t="s">
        <v>80</v>
      </c>
      <c r="J707">
        <v>10</v>
      </c>
      <c r="K707">
        <v>55000</v>
      </c>
      <c r="L707">
        <v>0</v>
      </c>
      <c r="M707">
        <v>550000</v>
      </c>
      <c r="N707">
        <v>385000</v>
      </c>
      <c r="O707">
        <v>165000</v>
      </c>
      <c r="P707" t="s">
        <v>58</v>
      </c>
      <c r="Q707" t="s">
        <v>26</v>
      </c>
      <c r="R707" t="str">
        <f>TEXT(SalesData[[#This Row],[Order Date]],"mmm")</f>
        <v>May</v>
      </c>
      <c r="S707" s="2" t="str">
        <f>"Q"&amp;ROUNDUP(MONTH(SalesData[[#This Row],[Order Date]])/3,0)</f>
        <v>Q2</v>
      </c>
      <c r="T707">
        <f>YEAR(SalesData[[#This Row],[Order Date]])</f>
        <v>2025</v>
      </c>
      <c r="U707">
        <f>SalesData[[#This Row],[Profit]]/SalesData[[#This Row],[Sales]]</f>
        <v>0.3</v>
      </c>
    </row>
    <row r="708" spans="1:21" x14ac:dyDescent="0.25">
      <c r="A708" t="s">
        <v>959</v>
      </c>
      <c r="B708" s="1">
        <v>45777</v>
      </c>
      <c r="C708" t="s">
        <v>135</v>
      </c>
      <c r="D708" t="s">
        <v>329</v>
      </c>
      <c r="E708" t="s">
        <v>70</v>
      </c>
      <c r="F708" t="s">
        <v>71</v>
      </c>
      <c r="G708" t="s">
        <v>22</v>
      </c>
      <c r="H708" t="s">
        <v>32</v>
      </c>
      <c r="I708" t="s">
        <v>24</v>
      </c>
      <c r="J708">
        <v>5</v>
      </c>
      <c r="K708">
        <v>1500</v>
      </c>
      <c r="L708">
        <v>15</v>
      </c>
      <c r="M708">
        <v>6375</v>
      </c>
      <c r="N708">
        <v>5250</v>
      </c>
      <c r="O708">
        <v>1125</v>
      </c>
      <c r="P708" t="s">
        <v>25</v>
      </c>
      <c r="Q708" t="s">
        <v>76</v>
      </c>
      <c r="R708" t="str">
        <f>TEXT(SalesData[[#This Row],[Order Date]],"mmm")</f>
        <v>Apr</v>
      </c>
      <c r="S708" s="2" t="str">
        <f>"Q"&amp;ROUNDUP(MONTH(SalesData[[#This Row],[Order Date]])/3,0)</f>
        <v>Q2</v>
      </c>
      <c r="T708">
        <f>YEAR(SalesData[[#This Row],[Order Date]])</f>
        <v>2025</v>
      </c>
      <c r="U708">
        <f>SalesData[[#This Row],[Profit]]/SalesData[[#This Row],[Sales]]</f>
        <v>0.17647058823529413</v>
      </c>
    </row>
    <row r="709" spans="1:21" x14ac:dyDescent="0.25">
      <c r="A709" t="s">
        <v>960</v>
      </c>
      <c r="B709" s="1">
        <v>45688</v>
      </c>
      <c r="C709" t="s">
        <v>381</v>
      </c>
      <c r="D709" t="s">
        <v>174</v>
      </c>
      <c r="E709" t="s">
        <v>30</v>
      </c>
      <c r="F709" t="s">
        <v>31</v>
      </c>
      <c r="G709" t="s">
        <v>22</v>
      </c>
      <c r="H709" t="s">
        <v>23</v>
      </c>
      <c r="I709" t="s">
        <v>80</v>
      </c>
      <c r="J709">
        <v>9</v>
      </c>
      <c r="K709">
        <v>800</v>
      </c>
      <c r="L709">
        <v>5</v>
      </c>
      <c r="M709">
        <v>6840</v>
      </c>
      <c r="N709">
        <v>5040</v>
      </c>
      <c r="O709">
        <v>1800</v>
      </c>
      <c r="P709" t="s">
        <v>40</v>
      </c>
      <c r="Q709" t="s">
        <v>26</v>
      </c>
      <c r="R709" t="str">
        <f>TEXT(SalesData[[#This Row],[Order Date]],"mmm")</f>
        <v>Jan</v>
      </c>
      <c r="S709" s="2" t="str">
        <f>"Q"&amp;ROUNDUP(MONTH(SalesData[[#This Row],[Order Date]])/3,0)</f>
        <v>Q1</v>
      </c>
      <c r="T709">
        <f>YEAR(SalesData[[#This Row],[Order Date]])</f>
        <v>2025</v>
      </c>
      <c r="U709">
        <f>SalesData[[#This Row],[Profit]]/SalesData[[#This Row],[Sales]]</f>
        <v>0.26315789473684209</v>
      </c>
    </row>
    <row r="710" spans="1:21" x14ac:dyDescent="0.25">
      <c r="A710" t="s">
        <v>961</v>
      </c>
      <c r="B710" s="1">
        <v>46019</v>
      </c>
      <c r="C710" t="s">
        <v>435</v>
      </c>
      <c r="D710" t="s">
        <v>278</v>
      </c>
      <c r="E710" t="s">
        <v>37</v>
      </c>
      <c r="F710" t="s">
        <v>38</v>
      </c>
      <c r="G710" t="s">
        <v>22</v>
      </c>
      <c r="H710" t="s">
        <v>32</v>
      </c>
      <c r="I710" t="s">
        <v>39</v>
      </c>
      <c r="J710">
        <v>3</v>
      </c>
      <c r="K710">
        <v>55000</v>
      </c>
      <c r="L710">
        <v>0</v>
      </c>
      <c r="M710">
        <v>165000</v>
      </c>
      <c r="N710">
        <v>115500</v>
      </c>
      <c r="O710">
        <v>49500.000000000007</v>
      </c>
      <c r="P710" t="s">
        <v>25</v>
      </c>
      <c r="Q710" t="s">
        <v>76</v>
      </c>
      <c r="R710" t="str">
        <f>TEXT(SalesData[[#This Row],[Order Date]],"mmm")</f>
        <v>Dec</v>
      </c>
      <c r="S710" s="2" t="str">
        <f>"Q"&amp;ROUNDUP(MONTH(SalesData[[#This Row],[Order Date]])/3,0)</f>
        <v>Q4</v>
      </c>
      <c r="T710">
        <f>YEAR(SalesData[[#This Row],[Order Date]])</f>
        <v>2025</v>
      </c>
      <c r="U710">
        <f>SalesData[[#This Row],[Profit]]/SalesData[[#This Row],[Sales]]</f>
        <v>0.30000000000000004</v>
      </c>
    </row>
    <row r="711" spans="1:21" x14ac:dyDescent="0.25">
      <c r="A711" t="s">
        <v>962</v>
      </c>
      <c r="B711" s="1">
        <v>45698</v>
      </c>
      <c r="C711" t="s">
        <v>96</v>
      </c>
      <c r="D711" t="s">
        <v>256</v>
      </c>
      <c r="E711" t="s">
        <v>30</v>
      </c>
      <c r="F711" t="s">
        <v>31</v>
      </c>
      <c r="G711" t="s">
        <v>22</v>
      </c>
      <c r="H711" t="s">
        <v>32</v>
      </c>
      <c r="I711" t="s">
        <v>66</v>
      </c>
      <c r="J711">
        <v>10</v>
      </c>
      <c r="K711">
        <v>800</v>
      </c>
      <c r="L711">
        <v>15</v>
      </c>
      <c r="M711">
        <v>6800</v>
      </c>
      <c r="N711">
        <v>5600</v>
      </c>
      <c r="O711">
        <v>1200</v>
      </c>
      <c r="P711" t="s">
        <v>40</v>
      </c>
      <c r="Q711" t="s">
        <v>26</v>
      </c>
      <c r="R711" t="str">
        <f>TEXT(SalesData[[#This Row],[Order Date]],"mmm")</f>
        <v>Feb</v>
      </c>
      <c r="S711" s="2" t="str">
        <f>"Q"&amp;ROUNDUP(MONTH(SalesData[[#This Row],[Order Date]])/3,0)</f>
        <v>Q1</v>
      </c>
      <c r="T711">
        <f>YEAR(SalesData[[#This Row],[Order Date]])</f>
        <v>2025</v>
      </c>
      <c r="U711">
        <f>SalesData[[#This Row],[Profit]]/SalesData[[#This Row],[Sales]]</f>
        <v>0.17647058823529413</v>
      </c>
    </row>
    <row r="712" spans="1:21" x14ac:dyDescent="0.25">
      <c r="A712" t="s">
        <v>963</v>
      </c>
      <c r="B712" s="1">
        <v>45816</v>
      </c>
      <c r="C712" t="s">
        <v>457</v>
      </c>
      <c r="D712" t="s">
        <v>103</v>
      </c>
      <c r="E712" t="s">
        <v>44</v>
      </c>
      <c r="F712" t="s">
        <v>45</v>
      </c>
      <c r="G712" t="s">
        <v>22</v>
      </c>
      <c r="H712" t="s">
        <v>32</v>
      </c>
      <c r="I712" t="s">
        <v>24</v>
      </c>
      <c r="J712">
        <v>2</v>
      </c>
      <c r="K712">
        <v>9500</v>
      </c>
      <c r="L712">
        <v>0</v>
      </c>
      <c r="M712">
        <v>19000</v>
      </c>
      <c r="N712">
        <v>13300</v>
      </c>
      <c r="O712">
        <v>5700</v>
      </c>
      <c r="P712" t="s">
        <v>54</v>
      </c>
      <c r="Q712" t="s">
        <v>33</v>
      </c>
      <c r="R712" t="str">
        <f>TEXT(SalesData[[#This Row],[Order Date]],"mmm")</f>
        <v>Jun</v>
      </c>
      <c r="S712" s="2" t="str">
        <f>"Q"&amp;ROUNDUP(MONTH(SalesData[[#This Row],[Order Date]])/3,0)</f>
        <v>Q2</v>
      </c>
      <c r="T712">
        <f>YEAR(SalesData[[#This Row],[Order Date]])</f>
        <v>2025</v>
      </c>
      <c r="U712">
        <f>SalesData[[#This Row],[Profit]]/SalesData[[#This Row],[Sales]]</f>
        <v>0.3</v>
      </c>
    </row>
    <row r="713" spans="1:21" x14ac:dyDescent="0.25">
      <c r="A713" t="s">
        <v>964</v>
      </c>
      <c r="B713" s="1">
        <v>45701</v>
      </c>
      <c r="C713" t="s">
        <v>471</v>
      </c>
      <c r="D713" t="s">
        <v>293</v>
      </c>
      <c r="E713" t="s">
        <v>30</v>
      </c>
      <c r="F713" t="s">
        <v>31</v>
      </c>
      <c r="G713" t="s">
        <v>22</v>
      </c>
      <c r="H713" t="s">
        <v>46</v>
      </c>
      <c r="I713" t="s">
        <v>80</v>
      </c>
      <c r="J713">
        <v>5</v>
      </c>
      <c r="K713">
        <v>800</v>
      </c>
      <c r="L713">
        <v>0</v>
      </c>
      <c r="M713">
        <v>4000</v>
      </c>
      <c r="N713">
        <v>2800</v>
      </c>
      <c r="O713">
        <v>1200</v>
      </c>
      <c r="P713" t="s">
        <v>25</v>
      </c>
      <c r="Q713" t="s">
        <v>76</v>
      </c>
      <c r="R713" t="str">
        <f>TEXT(SalesData[[#This Row],[Order Date]],"mmm")</f>
        <v>Feb</v>
      </c>
      <c r="S713" s="2" t="str">
        <f>"Q"&amp;ROUNDUP(MONTH(SalesData[[#This Row],[Order Date]])/3,0)</f>
        <v>Q1</v>
      </c>
      <c r="T713">
        <f>YEAR(SalesData[[#This Row],[Order Date]])</f>
        <v>2025</v>
      </c>
      <c r="U713">
        <f>SalesData[[#This Row],[Profit]]/SalesData[[#This Row],[Sales]]</f>
        <v>0.3</v>
      </c>
    </row>
    <row r="714" spans="1:21" x14ac:dyDescent="0.25">
      <c r="A714" t="s">
        <v>965</v>
      </c>
      <c r="B714" s="1">
        <v>45760</v>
      </c>
      <c r="C714" t="s">
        <v>229</v>
      </c>
      <c r="D714" t="s">
        <v>183</v>
      </c>
      <c r="E714" t="s">
        <v>37</v>
      </c>
      <c r="F714" t="s">
        <v>38</v>
      </c>
      <c r="G714" t="s">
        <v>22</v>
      </c>
      <c r="H714" t="s">
        <v>46</v>
      </c>
      <c r="I714" t="s">
        <v>66</v>
      </c>
      <c r="J714">
        <v>10</v>
      </c>
      <c r="K714">
        <v>55000</v>
      </c>
      <c r="L714">
        <v>15</v>
      </c>
      <c r="M714">
        <v>467500</v>
      </c>
      <c r="N714">
        <v>385000</v>
      </c>
      <c r="O714">
        <v>82500</v>
      </c>
      <c r="P714" t="s">
        <v>54</v>
      </c>
      <c r="Q714" t="s">
        <v>76</v>
      </c>
      <c r="R714" t="str">
        <f>TEXT(SalesData[[#This Row],[Order Date]],"mmm")</f>
        <v>Apr</v>
      </c>
      <c r="S714" s="2" t="str">
        <f>"Q"&amp;ROUNDUP(MONTH(SalesData[[#This Row],[Order Date]])/3,0)</f>
        <v>Q2</v>
      </c>
      <c r="T714">
        <f>YEAR(SalesData[[#This Row],[Order Date]])</f>
        <v>2025</v>
      </c>
      <c r="U714">
        <f>SalesData[[#This Row],[Profit]]/SalesData[[#This Row],[Sales]]</f>
        <v>0.17647058823529413</v>
      </c>
    </row>
    <row r="715" spans="1:21" x14ac:dyDescent="0.25">
      <c r="A715" t="s">
        <v>966</v>
      </c>
      <c r="B715" s="1">
        <v>45806</v>
      </c>
      <c r="C715" t="s">
        <v>208</v>
      </c>
      <c r="D715" t="s">
        <v>108</v>
      </c>
      <c r="E715" t="s">
        <v>62</v>
      </c>
      <c r="F715" t="s">
        <v>63</v>
      </c>
      <c r="G715" t="s">
        <v>64</v>
      </c>
      <c r="H715" t="s">
        <v>23</v>
      </c>
      <c r="I715" t="s">
        <v>66</v>
      </c>
      <c r="J715">
        <v>4</v>
      </c>
      <c r="K715">
        <v>8500</v>
      </c>
      <c r="L715">
        <v>20</v>
      </c>
      <c r="M715">
        <v>27200</v>
      </c>
      <c r="N715">
        <v>23800</v>
      </c>
      <c r="O715">
        <v>3400</v>
      </c>
      <c r="P715" t="s">
        <v>58</v>
      </c>
      <c r="Q715" t="s">
        <v>76</v>
      </c>
      <c r="R715" t="str">
        <f>TEXT(SalesData[[#This Row],[Order Date]],"mmm")</f>
        <v>May</v>
      </c>
      <c r="S715" s="2" t="str">
        <f>"Q"&amp;ROUNDUP(MONTH(SalesData[[#This Row],[Order Date]])/3,0)</f>
        <v>Q2</v>
      </c>
      <c r="T715">
        <f>YEAR(SalesData[[#This Row],[Order Date]])</f>
        <v>2025</v>
      </c>
      <c r="U715">
        <f>SalesData[[#This Row],[Profit]]/SalesData[[#This Row],[Sales]]</f>
        <v>0.125</v>
      </c>
    </row>
    <row r="716" spans="1:21" x14ac:dyDescent="0.25">
      <c r="A716" t="s">
        <v>967</v>
      </c>
      <c r="B716" s="1">
        <v>45804</v>
      </c>
      <c r="C716" t="s">
        <v>252</v>
      </c>
      <c r="D716" t="s">
        <v>179</v>
      </c>
      <c r="E716" t="s">
        <v>50</v>
      </c>
      <c r="F716" t="s">
        <v>51</v>
      </c>
      <c r="G716" t="s">
        <v>52</v>
      </c>
      <c r="H716" t="s">
        <v>65</v>
      </c>
      <c r="I716" t="s">
        <v>53</v>
      </c>
      <c r="J716">
        <v>7</v>
      </c>
      <c r="K716">
        <v>3200</v>
      </c>
      <c r="L716">
        <v>15</v>
      </c>
      <c r="M716">
        <v>19040</v>
      </c>
      <c r="N716">
        <v>15680</v>
      </c>
      <c r="O716">
        <v>3360.0000000000018</v>
      </c>
      <c r="P716" t="s">
        <v>54</v>
      </c>
      <c r="Q716" t="s">
        <v>26</v>
      </c>
      <c r="R716" t="str">
        <f>TEXT(SalesData[[#This Row],[Order Date]],"mmm")</f>
        <v>May</v>
      </c>
      <c r="S716" s="2" t="str">
        <f>"Q"&amp;ROUNDUP(MONTH(SalesData[[#This Row],[Order Date]])/3,0)</f>
        <v>Q2</v>
      </c>
      <c r="T716">
        <f>YEAR(SalesData[[#This Row],[Order Date]])</f>
        <v>2025</v>
      </c>
      <c r="U716">
        <f>SalesData[[#This Row],[Profit]]/SalesData[[#This Row],[Sales]]</f>
        <v>0.17647058823529421</v>
      </c>
    </row>
    <row r="717" spans="1:21" x14ac:dyDescent="0.25">
      <c r="A717" t="s">
        <v>968</v>
      </c>
      <c r="B717" s="1">
        <v>45765</v>
      </c>
      <c r="C717" t="s">
        <v>208</v>
      </c>
      <c r="D717" t="s">
        <v>139</v>
      </c>
      <c r="E717" t="s">
        <v>70</v>
      </c>
      <c r="F717" t="s">
        <v>71</v>
      </c>
      <c r="G717" t="s">
        <v>22</v>
      </c>
      <c r="H717" t="s">
        <v>65</v>
      </c>
      <c r="I717" t="s">
        <v>39</v>
      </c>
      <c r="J717">
        <v>7</v>
      </c>
      <c r="K717">
        <v>1500</v>
      </c>
      <c r="L717">
        <v>10</v>
      </c>
      <c r="M717">
        <v>9450</v>
      </c>
      <c r="N717">
        <v>7349.9999999999991</v>
      </c>
      <c r="O717">
        <v>2100.0000000000009</v>
      </c>
      <c r="P717" t="s">
        <v>40</v>
      </c>
      <c r="Q717" t="s">
        <v>26</v>
      </c>
      <c r="R717" t="str">
        <f>TEXT(SalesData[[#This Row],[Order Date]],"mmm")</f>
        <v>Apr</v>
      </c>
      <c r="S717" s="2" t="str">
        <f>"Q"&amp;ROUNDUP(MONTH(SalesData[[#This Row],[Order Date]])/3,0)</f>
        <v>Q2</v>
      </c>
      <c r="T717">
        <f>YEAR(SalesData[[#This Row],[Order Date]])</f>
        <v>2025</v>
      </c>
      <c r="U717">
        <f>SalesData[[#This Row],[Profit]]/SalesData[[#This Row],[Sales]]</f>
        <v>0.22222222222222232</v>
      </c>
    </row>
    <row r="718" spans="1:21" x14ac:dyDescent="0.25">
      <c r="A718" t="s">
        <v>969</v>
      </c>
      <c r="B718" s="1">
        <v>45844</v>
      </c>
      <c r="C718" t="s">
        <v>495</v>
      </c>
      <c r="D718" t="s">
        <v>145</v>
      </c>
      <c r="E718" t="s">
        <v>62</v>
      </c>
      <c r="F718" t="s">
        <v>63</v>
      </c>
      <c r="G718" t="s">
        <v>64</v>
      </c>
      <c r="H718" t="s">
        <v>23</v>
      </c>
      <c r="I718" t="s">
        <v>39</v>
      </c>
      <c r="J718">
        <v>8</v>
      </c>
      <c r="K718">
        <v>8500</v>
      </c>
      <c r="L718">
        <v>15</v>
      </c>
      <c r="M718">
        <v>57800</v>
      </c>
      <c r="N718">
        <v>47600</v>
      </c>
      <c r="O718">
        <v>10200</v>
      </c>
      <c r="P718" t="s">
        <v>58</v>
      </c>
      <c r="Q718" t="s">
        <v>33</v>
      </c>
      <c r="R718" t="str">
        <f>TEXT(SalesData[[#This Row],[Order Date]],"mmm")</f>
        <v>Jul</v>
      </c>
      <c r="S718" s="2" t="str">
        <f>"Q"&amp;ROUNDUP(MONTH(SalesData[[#This Row],[Order Date]])/3,0)</f>
        <v>Q3</v>
      </c>
      <c r="T718">
        <f>YEAR(SalesData[[#This Row],[Order Date]])</f>
        <v>2025</v>
      </c>
      <c r="U718">
        <f>SalesData[[#This Row],[Profit]]/SalesData[[#This Row],[Sales]]</f>
        <v>0.17647058823529413</v>
      </c>
    </row>
    <row r="719" spans="1:21" x14ac:dyDescent="0.25">
      <c r="A719" t="s">
        <v>970</v>
      </c>
      <c r="B719" s="1">
        <v>45985</v>
      </c>
      <c r="C719" t="s">
        <v>448</v>
      </c>
      <c r="D719" t="s">
        <v>555</v>
      </c>
      <c r="E719" t="s">
        <v>93</v>
      </c>
      <c r="F719" t="s">
        <v>94</v>
      </c>
      <c r="G719" t="s">
        <v>64</v>
      </c>
      <c r="H719" t="s">
        <v>65</v>
      </c>
      <c r="I719" t="s">
        <v>72</v>
      </c>
      <c r="J719">
        <v>10</v>
      </c>
      <c r="K719">
        <v>4500</v>
      </c>
      <c r="L719">
        <v>5</v>
      </c>
      <c r="M719">
        <v>42750</v>
      </c>
      <c r="N719">
        <v>31500</v>
      </c>
      <c r="O719">
        <v>11250</v>
      </c>
      <c r="P719" t="s">
        <v>25</v>
      </c>
      <c r="Q719" t="s">
        <v>76</v>
      </c>
      <c r="R719" t="str">
        <f>TEXT(SalesData[[#This Row],[Order Date]],"mmm")</f>
        <v>Nov</v>
      </c>
      <c r="S719" s="2" t="str">
        <f>"Q"&amp;ROUNDUP(MONTH(SalesData[[#This Row],[Order Date]])/3,0)</f>
        <v>Q4</v>
      </c>
      <c r="T719">
        <f>YEAR(SalesData[[#This Row],[Order Date]])</f>
        <v>2025</v>
      </c>
      <c r="U719">
        <f>SalesData[[#This Row],[Profit]]/SalesData[[#This Row],[Sales]]</f>
        <v>0.26315789473684209</v>
      </c>
    </row>
    <row r="720" spans="1:21" x14ac:dyDescent="0.25">
      <c r="A720" t="s">
        <v>971</v>
      </c>
      <c r="B720" s="1">
        <v>45891</v>
      </c>
      <c r="C720" t="s">
        <v>365</v>
      </c>
      <c r="D720" t="s">
        <v>75</v>
      </c>
      <c r="E720" t="s">
        <v>62</v>
      </c>
      <c r="F720" t="s">
        <v>63</v>
      </c>
      <c r="G720" t="s">
        <v>64</v>
      </c>
      <c r="H720" t="s">
        <v>46</v>
      </c>
      <c r="I720" t="s">
        <v>53</v>
      </c>
      <c r="J720">
        <v>3</v>
      </c>
      <c r="K720">
        <v>8500</v>
      </c>
      <c r="L720">
        <v>5</v>
      </c>
      <c r="M720">
        <v>24225</v>
      </c>
      <c r="N720">
        <v>17850</v>
      </c>
      <c r="O720">
        <v>6375</v>
      </c>
      <c r="P720" t="s">
        <v>54</v>
      </c>
      <c r="Q720" t="s">
        <v>26</v>
      </c>
      <c r="R720" t="str">
        <f>TEXT(SalesData[[#This Row],[Order Date]],"mmm")</f>
        <v>Aug</v>
      </c>
      <c r="S720" s="2" t="str">
        <f>"Q"&amp;ROUNDUP(MONTH(SalesData[[#This Row],[Order Date]])/3,0)</f>
        <v>Q3</v>
      </c>
      <c r="T720">
        <f>YEAR(SalesData[[#This Row],[Order Date]])</f>
        <v>2025</v>
      </c>
      <c r="U720">
        <f>SalesData[[#This Row],[Profit]]/SalesData[[#This Row],[Sales]]</f>
        <v>0.26315789473684209</v>
      </c>
    </row>
    <row r="721" spans="1:21" x14ac:dyDescent="0.25">
      <c r="A721" t="s">
        <v>972</v>
      </c>
      <c r="B721" s="1">
        <v>45670</v>
      </c>
      <c r="C721" t="s">
        <v>118</v>
      </c>
      <c r="D721" t="s">
        <v>310</v>
      </c>
      <c r="E721" t="s">
        <v>20</v>
      </c>
      <c r="F721" t="s">
        <v>21</v>
      </c>
      <c r="G721" t="s">
        <v>22</v>
      </c>
      <c r="H721" t="s">
        <v>46</v>
      </c>
      <c r="I721" t="s">
        <v>24</v>
      </c>
      <c r="J721">
        <v>7</v>
      </c>
      <c r="K721">
        <v>3500</v>
      </c>
      <c r="L721">
        <v>10</v>
      </c>
      <c r="M721">
        <v>22050</v>
      </c>
      <c r="N721">
        <v>17150</v>
      </c>
      <c r="O721">
        <v>4900</v>
      </c>
      <c r="P721" t="s">
        <v>40</v>
      </c>
      <c r="Q721" t="s">
        <v>33</v>
      </c>
      <c r="R721" t="str">
        <f>TEXT(SalesData[[#This Row],[Order Date]],"mmm")</f>
        <v>Jan</v>
      </c>
      <c r="S721" s="2" t="str">
        <f>"Q"&amp;ROUNDUP(MONTH(SalesData[[#This Row],[Order Date]])/3,0)</f>
        <v>Q1</v>
      </c>
      <c r="T721">
        <f>YEAR(SalesData[[#This Row],[Order Date]])</f>
        <v>2025</v>
      </c>
      <c r="U721">
        <f>SalesData[[#This Row],[Profit]]/SalesData[[#This Row],[Sales]]</f>
        <v>0.22222222222222221</v>
      </c>
    </row>
    <row r="722" spans="1:21" x14ac:dyDescent="0.25">
      <c r="A722" t="s">
        <v>973</v>
      </c>
      <c r="B722" s="1">
        <v>45888</v>
      </c>
      <c r="C722" t="s">
        <v>325</v>
      </c>
      <c r="D722" t="s">
        <v>256</v>
      </c>
      <c r="E722" t="s">
        <v>30</v>
      </c>
      <c r="F722" t="s">
        <v>31</v>
      </c>
      <c r="G722" t="s">
        <v>22</v>
      </c>
      <c r="H722" t="s">
        <v>32</v>
      </c>
      <c r="I722" t="s">
        <v>80</v>
      </c>
      <c r="J722">
        <v>10</v>
      </c>
      <c r="K722">
        <v>800</v>
      </c>
      <c r="L722">
        <v>5</v>
      </c>
      <c r="M722">
        <v>7600</v>
      </c>
      <c r="N722">
        <v>5600</v>
      </c>
      <c r="O722">
        <v>2000</v>
      </c>
      <c r="P722" t="s">
        <v>58</v>
      </c>
      <c r="Q722" t="s">
        <v>33</v>
      </c>
      <c r="R722" t="str">
        <f>TEXT(SalesData[[#This Row],[Order Date]],"mmm")</f>
        <v>Aug</v>
      </c>
      <c r="S722" s="2" t="str">
        <f>"Q"&amp;ROUNDUP(MONTH(SalesData[[#This Row],[Order Date]])/3,0)</f>
        <v>Q3</v>
      </c>
      <c r="T722">
        <f>YEAR(SalesData[[#This Row],[Order Date]])</f>
        <v>2025</v>
      </c>
      <c r="U722">
        <f>SalesData[[#This Row],[Profit]]/SalesData[[#This Row],[Sales]]</f>
        <v>0.26315789473684209</v>
      </c>
    </row>
    <row r="723" spans="1:21" x14ac:dyDescent="0.25">
      <c r="A723" t="s">
        <v>974</v>
      </c>
      <c r="B723" s="1">
        <v>45974</v>
      </c>
      <c r="C723" t="s">
        <v>226</v>
      </c>
      <c r="D723" t="s">
        <v>201</v>
      </c>
      <c r="E723" t="s">
        <v>50</v>
      </c>
      <c r="F723" t="s">
        <v>51</v>
      </c>
      <c r="G723" t="s">
        <v>52</v>
      </c>
      <c r="H723" t="s">
        <v>23</v>
      </c>
      <c r="I723" t="s">
        <v>66</v>
      </c>
      <c r="J723">
        <v>2</v>
      </c>
      <c r="K723">
        <v>3200</v>
      </c>
      <c r="L723">
        <v>10</v>
      </c>
      <c r="M723">
        <v>5760</v>
      </c>
      <c r="N723">
        <v>4480</v>
      </c>
      <c r="O723">
        <v>1280</v>
      </c>
      <c r="P723" t="s">
        <v>58</v>
      </c>
      <c r="Q723" t="s">
        <v>76</v>
      </c>
      <c r="R723" t="str">
        <f>TEXT(SalesData[[#This Row],[Order Date]],"mmm")</f>
        <v>Nov</v>
      </c>
      <c r="S723" s="2" t="str">
        <f>"Q"&amp;ROUNDUP(MONTH(SalesData[[#This Row],[Order Date]])/3,0)</f>
        <v>Q4</v>
      </c>
      <c r="T723">
        <f>YEAR(SalesData[[#This Row],[Order Date]])</f>
        <v>2025</v>
      </c>
      <c r="U723">
        <f>SalesData[[#This Row],[Profit]]/SalesData[[#This Row],[Sales]]</f>
        <v>0.22222222222222221</v>
      </c>
    </row>
    <row r="724" spans="1:21" x14ac:dyDescent="0.25">
      <c r="A724" t="s">
        <v>975</v>
      </c>
      <c r="B724" s="1">
        <v>45690</v>
      </c>
      <c r="C724" t="s">
        <v>325</v>
      </c>
      <c r="D724" t="s">
        <v>253</v>
      </c>
      <c r="E724" t="s">
        <v>93</v>
      </c>
      <c r="F724" t="s">
        <v>94</v>
      </c>
      <c r="G724" t="s">
        <v>64</v>
      </c>
      <c r="H724" t="s">
        <v>46</v>
      </c>
      <c r="I724" t="s">
        <v>39</v>
      </c>
      <c r="J724">
        <v>1</v>
      </c>
      <c r="K724">
        <v>4500</v>
      </c>
      <c r="L724">
        <v>5</v>
      </c>
      <c r="M724">
        <v>4275</v>
      </c>
      <c r="N724">
        <v>3150</v>
      </c>
      <c r="O724">
        <v>1125</v>
      </c>
      <c r="P724" t="s">
        <v>25</v>
      </c>
      <c r="Q724" t="s">
        <v>76</v>
      </c>
      <c r="R724" t="str">
        <f>TEXT(SalesData[[#This Row],[Order Date]],"mmm")</f>
        <v>Feb</v>
      </c>
      <c r="S724" s="2" t="str">
        <f>"Q"&amp;ROUNDUP(MONTH(SalesData[[#This Row],[Order Date]])/3,0)</f>
        <v>Q1</v>
      </c>
      <c r="T724">
        <f>YEAR(SalesData[[#This Row],[Order Date]])</f>
        <v>2025</v>
      </c>
      <c r="U724">
        <f>SalesData[[#This Row],[Profit]]/SalesData[[#This Row],[Sales]]</f>
        <v>0.26315789473684209</v>
      </c>
    </row>
    <row r="725" spans="1:21" x14ac:dyDescent="0.25">
      <c r="A725" t="s">
        <v>976</v>
      </c>
      <c r="B725" s="1">
        <v>45852</v>
      </c>
      <c r="C725" t="s">
        <v>112</v>
      </c>
      <c r="D725" t="s">
        <v>201</v>
      </c>
      <c r="E725" t="s">
        <v>30</v>
      </c>
      <c r="F725" t="s">
        <v>31</v>
      </c>
      <c r="G725" t="s">
        <v>22</v>
      </c>
      <c r="H725" t="s">
        <v>23</v>
      </c>
      <c r="I725" t="s">
        <v>24</v>
      </c>
      <c r="J725">
        <v>4</v>
      </c>
      <c r="K725">
        <v>800</v>
      </c>
      <c r="L725">
        <v>5</v>
      </c>
      <c r="M725">
        <v>3040</v>
      </c>
      <c r="N725">
        <v>2240</v>
      </c>
      <c r="O725">
        <v>800</v>
      </c>
      <c r="P725" t="s">
        <v>25</v>
      </c>
      <c r="Q725" t="s">
        <v>33</v>
      </c>
      <c r="R725" t="str">
        <f>TEXT(SalesData[[#This Row],[Order Date]],"mmm")</f>
        <v>Jul</v>
      </c>
      <c r="S725" s="2" t="str">
        <f>"Q"&amp;ROUNDUP(MONTH(SalesData[[#This Row],[Order Date]])/3,0)</f>
        <v>Q3</v>
      </c>
      <c r="T725">
        <f>YEAR(SalesData[[#This Row],[Order Date]])</f>
        <v>2025</v>
      </c>
      <c r="U725">
        <f>SalesData[[#This Row],[Profit]]/SalesData[[#This Row],[Sales]]</f>
        <v>0.26315789473684209</v>
      </c>
    </row>
    <row r="726" spans="1:21" x14ac:dyDescent="0.25">
      <c r="A726" t="s">
        <v>977</v>
      </c>
      <c r="B726" s="1">
        <v>45815</v>
      </c>
      <c r="C726" t="s">
        <v>365</v>
      </c>
      <c r="D726" t="s">
        <v>191</v>
      </c>
      <c r="E726" t="s">
        <v>44</v>
      </c>
      <c r="F726" t="s">
        <v>45</v>
      </c>
      <c r="G726" t="s">
        <v>22</v>
      </c>
      <c r="H726" t="s">
        <v>46</v>
      </c>
      <c r="I726" t="s">
        <v>53</v>
      </c>
      <c r="J726">
        <v>8</v>
      </c>
      <c r="K726">
        <v>9500</v>
      </c>
      <c r="L726">
        <v>5</v>
      </c>
      <c r="M726">
        <v>72200</v>
      </c>
      <c r="N726">
        <v>53200</v>
      </c>
      <c r="O726">
        <v>19000</v>
      </c>
      <c r="P726" t="s">
        <v>58</v>
      </c>
      <c r="Q726" t="s">
        <v>26</v>
      </c>
      <c r="R726" t="str">
        <f>TEXT(SalesData[[#This Row],[Order Date]],"mmm")</f>
        <v>Jun</v>
      </c>
      <c r="S726" s="2" t="str">
        <f>"Q"&amp;ROUNDUP(MONTH(SalesData[[#This Row],[Order Date]])/3,0)</f>
        <v>Q2</v>
      </c>
      <c r="T726">
        <f>YEAR(SalesData[[#This Row],[Order Date]])</f>
        <v>2025</v>
      </c>
      <c r="U726">
        <f>SalesData[[#This Row],[Profit]]/SalesData[[#This Row],[Sales]]</f>
        <v>0.26315789473684209</v>
      </c>
    </row>
    <row r="727" spans="1:21" x14ac:dyDescent="0.25">
      <c r="A727" t="s">
        <v>978</v>
      </c>
      <c r="B727" s="1">
        <v>45667</v>
      </c>
      <c r="C727" t="s">
        <v>60</v>
      </c>
      <c r="D727" t="s">
        <v>100</v>
      </c>
      <c r="E727" t="s">
        <v>62</v>
      </c>
      <c r="F727" t="s">
        <v>63</v>
      </c>
      <c r="G727" t="s">
        <v>64</v>
      </c>
      <c r="H727" t="s">
        <v>23</v>
      </c>
      <c r="I727" t="s">
        <v>39</v>
      </c>
      <c r="J727">
        <v>6</v>
      </c>
      <c r="K727">
        <v>8500</v>
      </c>
      <c r="L727">
        <v>5</v>
      </c>
      <c r="M727">
        <v>48450</v>
      </c>
      <c r="N727">
        <v>35700</v>
      </c>
      <c r="O727">
        <v>12750</v>
      </c>
      <c r="P727" t="s">
        <v>40</v>
      </c>
      <c r="Q727" t="s">
        <v>76</v>
      </c>
      <c r="R727" t="str">
        <f>TEXT(SalesData[[#This Row],[Order Date]],"mmm")</f>
        <v>Jan</v>
      </c>
      <c r="S727" s="2" t="str">
        <f>"Q"&amp;ROUNDUP(MONTH(SalesData[[#This Row],[Order Date]])/3,0)</f>
        <v>Q1</v>
      </c>
      <c r="T727">
        <f>YEAR(SalesData[[#This Row],[Order Date]])</f>
        <v>2025</v>
      </c>
      <c r="U727">
        <f>SalesData[[#This Row],[Profit]]/SalesData[[#This Row],[Sales]]</f>
        <v>0.26315789473684209</v>
      </c>
    </row>
    <row r="728" spans="1:21" x14ac:dyDescent="0.25">
      <c r="A728" t="s">
        <v>979</v>
      </c>
      <c r="B728" s="1">
        <v>45690</v>
      </c>
      <c r="C728" t="s">
        <v>132</v>
      </c>
      <c r="D728" t="s">
        <v>773</v>
      </c>
      <c r="E728" t="s">
        <v>93</v>
      </c>
      <c r="F728" t="s">
        <v>94</v>
      </c>
      <c r="G728" t="s">
        <v>64</v>
      </c>
      <c r="H728" t="s">
        <v>32</v>
      </c>
      <c r="I728" t="s">
        <v>24</v>
      </c>
      <c r="J728">
        <v>10</v>
      </c>
      <c r="K728">
        <v>4500</v>
      </c>
      <c r="L728">
        <v>0</v>
      </c>
      <c r="M728">
        <v>45000</v>
      </c>
      <c r="N728">
        <v>31500</v>
      </c>
      <c r="O728">
        <v>13500</v>
      </c>
      <c r="P728" t="s">
        <v>25</v>
      </c>
      <c r="Q728" t="s">
        <v>33</v>
      </c>
      <c r="R728" t="str">
        <f>TEXT(SalesData[[#This Row],[Order Date]],"mmm")</f>
        <v>Feb</v>
      </c>
      <c r="S728" s="2" t="str">
        <f>"Q"&amp;ROUNDUP(MONTH(SalesData[[#This Row],[Order Date]])/3,0)</f>
        <v>Q1</v>
      </c>
      <c r="T728">
        <f>YEAR(SalesData[[#This Row],[Order Date]])</f>
        <v>2025</v>
      </c>
      <c r="U728">
        <f>SalesData[[#This Row],[Profit]]/SalesData[[#This Row],[Sales]]</f>
        <v>0.3</v>
      </c>
    </row>
    <row r="729" spans="1:21" x14ac:dyDescent="0.25">
      <c r="A729" t="s">
        <v>980</v>
      </c>
      <c r="B729" s="1">
        <v>45837</v>
      </c>
      <c r="C729" t="s">
        <v>144</v>
      </c>
      <c r="D729" t="s">
        <v>496</v>
      </c>
      <c r="E729" t="s">
        <v>93</v>
      </c>
      <c r="F729" t="s">
        <v>94</v>
      </c>
      <c r="G729" t="s">
        <v>64</v>
      </c>
      <c r="H729" t="s">
        <v>65</v>
      </c>
      <c r="I729" t="s">
        <v>72</v>
      </c>
      <c r="J729">
        <v>4</v>
      </c>
      <c r="K729">
        <v>4500</v>
      </c>
      <c r="L729">
        <v>5</v>
      </c>
      <c r="M729">
        <v>17100</v>
      </c>
      <c r="N729">
        <v>12600</v>
      </c>
      <c r="O729">
        <v>4500</v>
      </c>
      <c r="P729" t="s">
        <v>54</v>
      </c>
      <c r="Q729" t="s">
        <v>76</v>
      </c>
      <c r="R729" t="str">
        <f>TEXT(SalesData[[#This Row],[Order Date]],"mmm")</f>
        <v>Jun</v>
      </c>
      <c r="S729" s="2" t="str">
        <f>"Q"&amp;ROUNDUP(MONTH(SalesData[[#This Row],[Order Date]])/3,0)</f>
        <v>Q2</v>
      </c>
      <c r="T729">
        <f>YEAR(SalesData[[#This Row],[Order Date]])</f>
        <v>2025</v>
      </c>
      <c r="U729">
        <f>SalesData[[#This Row],[Profit]]/SalesData[[#This Row],[Sales]]</f>
        <v>0.26315789473684209</v>
      </c>
    </row>
    <row r="730" spans="1:21" x14ac:dyDescent="0.25">
      <c r="A730" t="s">
        <v>981</v>
      </c>
      <c r="B730" s="1">
        <v>45809</v>
      </c>
      <c r="C730" t="s">
        <v>442</v>
      </c>
      <c r="D730" t="s">
        <v>502</v>
      </c>
      <c r="E730" t="s">
        <v>62</v>
      </c>
      <c r="F730" t="s">
        <v>63</v>
      </c>
      <c r="G730" t="s">
        <v>64</v>
      </c>
      <c r="H730" t="s">
        <v>46</v>
      </c>
      <c r="I730" t="s">
        <v>72</v>
      </c>
      <c r="J730">
        <v>1</v>
      </c>
      <c r="K730">
        <v>8500</v>
      </c>
      <c r="L730">
        <v>20</v>
      </c>
      <c r="M730">
        <v>6800</v>
      </c>
      <c r="N730">
        <v>5950</v>
      </c>
      <c r="O730">
        <v>850</v>
      </c>
      <c r="P730" t="s">
        <v>40</v>
      </c>
      <c r="Q730" t="s">
        <v>26</v>
      </c>
      <c r="R730" t="str">
        <f>TEXT(SalesData[[#This Row],[Order Date]],"mmm")</f>
        <v>Jun</v>
      </c>
      <c r="S730" s="2" t="str">
        <f>"Q"&amp;ROUNDUP(MONTH(SalesData[[#This Row],[Order Date]])/3,0)</f>
        <v>Q2</v>
      </c>
      <c r="T730">
        <f>YEAR(SalesData[[#This Row],[Order Date]])</f>
        <v>2025</v>
      </c>
      <c r="U730">
        <f>SalesData[[#This Row],[Profit]]/SalesData[[#This Row],[Sales]]</f>
        <v>0.125</v>
      </c>
    </row>
    <row r="731" spans="1:21" x14ac:dyDescent="0.25">
      <c r="A731" t="s">
        <v>982</v>
      </c>
      <c r="B731" s="1">
        <v>45850</v>
      </c>
      <c r="C731" t="s">
        <v>302</v>
      </c>
      <c r="D731" t="s">
        <v>408</v>
      </c>
      <c r="E731" t="s">
        <v>37</v>
      </c>
      <c r="F731" t="s">
        <v>38</v>
      </c>
      <c r="G731" t="s">
        <v>22</v>
      </c>
      <c r="H731" t="s">
        <v>65</v>
      </c>
      <c r="I731" t="s">
        <v>24</v>
      </c>
      <c r="J731">
        <v>5</v>
      </c>
      <c r="K731">
        <v>55000</v>
      </c>
      <c r="L731">
        <v>5</v>
      </c>
      <c r="M731">
        <v>261250</v>
      </c>
      <c r="N731">
        <v>192500</v>
      </c>
      <c r="O731">
        <v>68750</v>
      </c>
      <c r="P731" t="s">
        <v>58</v>
      </c>
      <c r="Q731" t="s">
        <v>33</v>
      </c>
      <c r="R731" t="str">
        <f>TEXT(SalesData[[#This Row],[Order Date]],"mmm")</f>
        <v>Jul</v>
      </c>
      <c r="S731" s="2" t="str">
        <f>"Q"&amp;ROUNDUP(MONTH(SalesData[[#This Row],[Order Date]])/3,0)</f>
        <v>Q3</v>
      </c>
      <c r="T731">
        <f>YEAR(SalesData[[#This Row],[Order Date]])</f>
        <v>2025</v>
      </c>
      <c r="U731">
        <f>SalesData[[#This Row],[Profit]]/SalesData[[#This Row],[Sales]]</f>
        <v>0.26315789473684209</v>
      </c>
    </row>
    <row r="732" spans="1:21" x14ac:dyDescent="0.25">
      <c r="A732" t="s">
        <v>983</v>
      </c>
      <c r="B732" s="1">
        <v>45787</v>
      </c>
      <c r="C732" t="s">
        <v>242</v>
      </c>
      <c r="D732" t="s">
        <v>164</v>
      </c>
      <c r="E732" t="s">
        <v>93</v>
      </c>
      <c r="F732" t="s">
        <v>94</v>
      </c>
      <c r="G732" t="s">
        <v>64</v>
      </c>
      <c r="H732" t="s">
        <v>46</v>
      </c>
      <c r="I732" t="s">
        <v>24</v>
      </c>
      <c r="J732">
        <v>1</v>
      </c>
      <c r="K732">
        <v>4500</v>
      </c>
      <c r="L732">
        <v>5</v>
      </c>
      <c r="M732">
        <v>4275</v>
      </c>
      <c r="N732">
        <v>3150</v>
      </c>
      <c r="O732">
        <v>1125</v>
      </c>
      <c r="P732" t="s">
        <v>40</v>
      </c>
      <c r="Q732" t="s">
        <v>26</v>
      </c>
      <c r="R732" t="str">
        <f>TEXT(SalesData[[#This Row],[Order Date]],"mmm")</f>
        <v>May</v>
      </c>
      <c r="S732" s="2" t="str">
        <f>"Q"&amp;ROUNDUP(MONTH(SalesData[[#This Row],[Order Date]])/3,0)</f>
        <v>Q2</v>
      </c>
      <c r="T732">
        <f>YEAR(SalesData[[#This Row],[Order Date]])</f>
        <v>2025</v>
      </c>
      <c r="U732">
        <f>SalesData[[#This Row],[Profit]]/SalesData[[#This Row],[Sales]]</f>
        <v>0.26315789473684209</v>
      </c>
    </row>
    <row r="733" spans="1:21" x14ac:dyDescent="0.25">
      <c r="A733" t="s">
        <v>984</v>
      </c>
      <c r="B733" s="1">
        <v>46009</v>
      </c>
      <c r="C733" t="s">
        <v>501</v>
      </c>
      <c r="D733" t="s">
        <v>230</v>
      </c>
      <c r="E733" t="s">
        <v>62</v>
      </c>
      <c r="F733" t="s">
        <v>63</v>
      </c>
      <c r="G733" t="s">
        <v>64</v>
      </c>
      <c r="H733" t="s">
        <v>32</v>
      </c>
      <c r="I733" t="s">
        <v>80</v>
      </c>
      <c r="J733">
        <v>10</v>
      </c>
      <c r="K733">
        <v>8500</v>
      </c>
      <c r="L733">
        <v>15</v>
      </c>
      <c r="M733">
        <v>72250</v>
      </c>
      <c r="N733">
        <v>59499.999999999993</v>
      </c>
      <c r="O733">
        <v>12750.000000000009</v>
      </c>
      <c r="P733" t="s">
        <v>40</v>
      </c>
      <c r="Q733" t="s">
        <v>76</v>
      </c>
      <c r="R733" t="str">
        <f>TEXT(SalesData[[#This Row],[Order Date]],"mmm")</f>
        <v>Dec</v>
      </c>
      <c r="S733" s="2" t="str">
        <f>"Q"&amp;ROUNDUP(MONTH(SalesData[[#This Row],[Order Date]])/3,0)</f>
        <v>Q4</v>
      </c>
      <c r="T733">
        <f>YEAR(SalesData[[#This Row],[Order Date]])</f>
        <v>2025</v>
      </c>
      <c r="U733">
        <f>SalesData[[#This Row],[Profit]]/SalesData[[#This Row],[Sales]]</f>
        <v>0.17647058823529424</v>
      </c>
    </row>
    <row r="734" spans="1:21" x14ac:dyDescent="0.25">
      <c r="A734" t="s">
        <v>985</v>
      </c>
      <c r="B734" s="1">
        <v>45741</v>
      </c>
      <c r="C734" t="s">
        <v>261</v>
      </c>
      <c r="D734" t="s">
        <v>100</v>
      </c>
      <c r="E734" t="s">
        <v>50</v>
      </c>
      <c r="F734" t="s">
        <v>51</v>
      </c>
      <c r="G734" t="s">
        <v>52</v>
      </c>
      <c r="H734" t="s">
        <v>65</v>
      </c>
      <c r="I734" t="s">
        <v>53</v>
      </c>
      <c r="J734">
        <v>2</v>
      </c>
      <c r="K734">
        <v>3200</v>
      </c>
      <c r="L734">
        <v>0</v>
      </c>
      <c r="M734">
        <v>6400</v>
      </c>
      <c r="N734">
        <v>4480</v>
      </c>
      <c r="O734">
        <v>1920</v>
      </c>
      <c r="P734" t="s">
        <v>54</v>
      </c>
      <c r="Q734" t="s">
        <v>33</v>
      </c>
      <c r="R734" t="str">
        <f>TEXT(SalesData[[#This Row],[Order Date]],"mmm")</f>
        <v>Mar</v>
      </c>
      <c r="S734" s="2" t="str">
        <f>"Q"&amp;ROUNDUP(MONTH(SalesData[[#This Row],[Order Date]])/3,0)</f>
        <v>Q1</v>
      </c>
      <c r="T734">
        <f>YEAR(SalesData[[#This Row],[Order Date]])</f>
        <v>2025</v>
      </c>
      <c r="U734">
        <f>SalesData[[#This Row],[Profit]]/SalesData[[#This Row],[Sales]]</f>
        <v>0.3</v>
      </c>
    </row>
    <row r="735" spans="1:21" x14ac:dyDescent="0.25">
      <c r="A735" t="s">
        <v>986</v>
      </c>
      <c r="B735" s="1">
        <v>45900</v>
      </c>
      <c r="C735" t="s">
        <v>112</v>
      </c>
      <c r="D735" t="s">
        <v>36</v>
      </c>
      <c r="E735" t="s">
        <v>44</v>
      </c>
      <c r="F735" t="s">
        <v>45</v>
      </c>
      <c r="G735" t="s">
        <v>22</v>
      </c>
      <c r="H735" t="s">
        <v>32</v>
      </c>
      <c r="I735" t="s">
        <v>66</v>
      </c>
      <c r="J735">
        <v>3</v>
      </c>
      <c r="K735">
        <v>9500</v>
      </c>
      <c r="L735">
        <v>0</v>
      </c>
      <c r="M735">
        <v>28500</v>
      </c>
      <c r="N735">
        <v>19950</v>
      </c>
      <c r="O735">
        <v>8550</v>
      </c>
      <c r="P735" t="s">
        <v>40</v>
      </c>
      <c r="Q735" t="s">
        <v>76</v>
      </c>
      <c r="R735" t="str">
        <f>TEXT(SalesData[[#This Row],[Order Date]],"mmm")</f>
        <v>Aug</v>
      </c>
      <c r="S735" s="2" t="str">
        <f>"Q"&amp;ROUNDUP(MONTH(SalesData[[#This Row],[Order Date]])/3,0)</f>
        <v>Q3</v>
      </c>
      <c r="T735">
        <f>YEAR(SalesData[[#This Row],[Order Date]])</f>
        <v>2025</v>
      </c>
      <c r="U735">
        <f>SalesData[[#This Row],[Profit]]/SalesData[[#This Row],[Sales]]</f>
        <v>0.3</v>
      </c>
    </row>
    <row r="736" spans="1:21" x14ac:dyDescent="0.25">
      <c r="A736" t="s">
        <v>987</v>
      </c>
      <c r="B736" s="1">
        <v>46020</v>
      </c>
      <c r="C736" t="s">
        <v>365</v>
      </c>
      <c r="D736" t="s">
        <v>92</v>
      </c>
      <c r="E736" t="s">
        <v>93</v>
      </c>
      <c r="F736" t="s">
        <v>94</v>
      </c>
      <c r="G736" t="s">
        <v>64</v>
      </c>
      <c r="H736" t="s">
        <v>46</v>
      </c>
      <c r="I736" t="s">
        <v>53</v>
      </c>
      <c r="J736">
        <v>7</v>
      </c>
      <c r="K736">
        <v>4500</v>
      </c>
      <c r="L736">
        <v>20</v>
      </c>
      <c r="M736">
        <v>25200</v>
      </c>
      <c r="N736">
        <v>22050</v>
      </c>
      <c r="O736">
        <v>3150</v>
      </c>
      <c r="P736" t="s">
        <v>25</v>
      </c>
      <c r="Q736" t="s">
        <v>26</v>
      </c>
      <c r="R736" t="str">
        <f>TEXT(SalesData[[#This Row],[Order Date]],"mmm")</f>
        <v>Dec</v>
      </c>
      <c r="S736" s="2" t="str">
        <f>"Q"&amp;ROUNDUP(MONTH(SalesData[[#This Row],[Order Date]])/3,0)</f>
        <v>Q4</v>
      </c>
      <c r="T736">
        <f>YEAR(SalesData[[#This Row],[Order Date]])</f>
        <v>2025</v>
      </c>
      <c r="U736">
        <f>SalesData[[#This Row],[Profit]]/SalesData[[#This Row],[Sales]]</f>
        <v>0.125</v>
      </c>
    </row>
    <row r="737" spans="1:21" x14ac:dyDescent="0.25">
      <c r="A737" t="s">
        <v>988</v>
      </c>
      <c r="B737" s="1">
        <v>45818</v>
      </c>
      <c r="C737" t="s">
        <v>466</v>
      </c>
      <c r="D737" t="s">
        <v>444</v>
      </c>
      <c r="E737" t="s">
        <v>70</v>
      </c>
      <c r="F737" t="s">
        <v>71</v>
      </c>
      <c r="G737" t="s">
        <v>22</v>
      </c>
      <c r="H737" t="s">
        <v>46</v>
      </c>
      <c r="I737" t="s">
        <v>72</v>
      </c>
      <c r="J737">
        <v>8</v>
      </c>
      <c r="K737">
        <v>1500</v>
      </c>
      <c r="L737">
        <v>10</v>
      </c>
      <c r="M737">
        <v>10800</v>
      </c>
      <c r="N737">
        <v>8400</v>
      </c>
      <c r="O737">
        <v>2400</v>
      </c>
      <c r="P737" t="s">
        <v>58</v>
      </c>
      <c r="Q737" t="s">
        <v>26</v>
      </c>
      <c r="R737" t="str">
        <f>TEXT(SalesData[[#This Row],[Order Date]],"mmm")</f>
        <v>Jun</v>
      </c>
      <c r="S737" s="2" t="str">
        <f>"Q"&amp;ROUNDUP(MONTH(SalesData[[#This Row],[Order Date]])/3,0)</f>
        <v>Q2</v>
      </c>
      <c r="T737">
        <f>YEAR(SalesData[[#This Row],[Order Date]])</f>
        <v>2025</v>
      </c>
      <c r="U737">
        <f>SalesData[[#This Row],[Profit]]/SalesData[[#This Row],[Sales]]</f>
        <v>0.22222222222222221</v>
      </c>
    </row>
    <row r="738" spans="1:21" x14ac:dyDescent="0.25">
      <c r="A738" t="s">
        <v>989</v>
      </c>
      <c r="B738" s="1">
        <v>45945</v>
      </c>
      <c r="C738" t="s">
        <v>127</v>
      </c>
      <c r="D738" t="s">
        <v>773</v>
      </c>
      <c r="E738" t="s">
        <v>37</v>
      </c>
      <c r="F738" t="s">
        <v>38</v>
      </c>
      <c r="G738" t="s">
        <v>22</v>
      </c>
      <c r="H738" t="s">
        <v>23</v>
      </c>
      <c r="I738" t="s">
        <v>80</v>
      </c>
      <c r="J738">
        <v>2</v>
      </c>
      <c r="K738">
        <v>55000</v>
      </c>
      <c r="L738">
        <v>15</v>
      </c>
      <c r="M738">
        <v>93500</v>
      </c>
      <c r="N738">
        <v>77000</v>
      </c>
      <c r="O738">
        <v>16500</v>
      </c>
      <c r="P738" t="s">
        <v>54</v>
      </c>
      <c r="Q738" t="s">
        <v>76</v>
      </c>
      <c r="R738" t="str">
        <f>TEXT(SalesData[[#This Row],[Order Date]],"mmm")</f>
        <v>Oct</v>
      </c>
      <c r="S738" s="2" t="str">
        <f>"Q"&amp;ROUNDUP(MONTH(SalesData[[#This Row],[Order Date]])/3,0)</f>
        <v>Q4</v>
      </c>
      <c r="T738">
        <f>YEAR(SalesData[[#This Row],[Order Date]])</f>
        <v>2025</v>
      </c>
      <c r="U738">
        <f>SalesData[[#This Row],[Profit]]/SalesData[[#This Row],[Sales]]</f>
        <v>0.17647058823529413</v>
      </c>
    </row>
    <row r="739" spans="1:21" x14ac:dyDescent="0.25">
      <c r="A739" t="s">
        <v>990</v>
      </c>
      <c r="B739" s="1">
        <v>45985</v>
      </c>
      <c r="C739" t="s">
        <v>469</v>
      </c>
      <c r="D739" t="s">
        <v>177</v>
      </c>
      <c r="E739" t="s">
        <v>20</v>
      </c>
      <c r="F739" t="s">
        <v>21</v>
      </c>
      <c r="G739" t="s">
        <v>22</v>
      </c>
      <c r="H739" t="s">
        <v>46</v>
      </c>
      <c r="I739" t="s">
        <v>66</v>
      </c>
      <c r="J739">
        <v>4</v>
      </c>
      <c r="K739">
        <v>3500</v>
      </c>
      <c r="L739">
        <v>15</v>
      </c>
      <c r="M739">
        <v>11900</v>
      </c>
      <c r="N739">
        <v>9800</v>
      </c>
      <c r="O739">
        <v>2100</v>
      </c>
      <c r="P739" t="s">
        <v>40</v>
      </c>
      <c r="Q739" t="s">
        <v>33</v>
      </c>
      <c r="R739" t="str">
        <f>TEXT(SalesData[[#This Row],[Order Date]],"mmm")</f>
        <v>Nov</v>
      </c>
      <c r="S739" s="2" t="str">
        <f>"Q"&amp;ROUNDUP(MONTH(SalesData[[#This Row],[Order Date]])/3,0)</f>
        <v>Q4</v>
      </c>
      <c r="T739">
        <f>YEAR(SalesData[[#This Row],[Order Date]])</f>
        <v>2025</v>
      </c>
      <c r="U739">
        <f>SalesData[[#This Row],[Profit]]/SalesData[[#This Row],[Sales]]</f>
        <v>0.17647058823529413</v>
      </c>
    </row>
    <row r="740" spans="1:21" x14ac:dyDescent="0.25">
      <c r="A740" t="s">
        <v>991</v>
      </c>
      <c r="B740" s="1">
        <v>45727</v>
      </c>
      <c r="C740" t="s">
        <v>107</v>
      </c>
      <c r="D740" t="s">
        <v>285</v>
      </c>
      <c r="E740" t="s">
        <v>50</v>
      </c>
      <c r="F740" t="s">
        <v>51</v>
      </c>
      <c r="G740" t="s">
        <v>52</v>
      </c>
      <c r="H740" t="s">
        <v>32</v>
      </c>
      <c r="I740" t="s">
        <v>39</v>
      </c>
      <c r="J740">
        <v>1</v>
      </c>
      <c r="K740">
        <v>3200</v>
      </c>
      <c r="L740">
        <v>5</v>
      </c>
      <c r="M740">
        <v>3040</v>
      </c>
      <c r="N740">
        <v>2240</v>
      </c>
      <c r="O740">
        <v>800</v>
      </c>
      <c r="P740" t="s">
        <v>54</v>
      </c>
      <c r="Q740" t="s">
        <v>33</v>
      </c>
      <c r="R740" t="str">
        <f>TEXT(SalesData[[#This Row],[Order Date]],"mmm")</f>
        <v>Mar</v>
      </c>
      <c r="S740" s="2" t="str">
        <f>"Q"&amp;ROUNDUP(MONTH(SalesData[[#This Row],[Order Date]])/3,0)</f>
        <v>Q1</v>
      </c>
      <c r="T740">
        <f>YEAR(SalesData[[#This Row],[Order Date]])</f>
        <v>2025</v>
      </c>
      <c r="U740">
        <f>SalesData[[#This Row],[Profit]]/SalesData[[#This Row],[Sales]]</f>
        <v>0.26315789473684209</v>
      </c>
    </row>
    <row r="741" spans="1:21" x14ac:dyDescent="0.25">
      <c r="A741" t="s">
        <v>992</v>
      </c>
      <c r="B741" s="1">
        <v>45991</v>
      </c>
      <c r="C741" t="s">
        <v>190</v>
      </c>
      <c r="D741" t="s">
        <v>49</v>
      </c>
      <c r="E741" t="s">
        <v>93</v>
      </c>
      <c r="F741" t="s">
        <v>94</v>
      </c>
      <c r="G741" t="s">
        <v>64</v>
      </c>
      <c r="H741" t="s">
        <v>32</v>
      </c>
      <c r="I741" t="s">
        <v>24</v>
      </c>
      <c r="J741">
        <v>3</v>
      </c>
      <c r="K741">
        <v>4500</v>
      </c>
      <c r="L741">
        <v>10</v>
      </c>
      <c r="M741">
        <v>12150</v>
      </c>
      <c r="N741">
        <v>9450</v>
      </c>
      <c r="O741">
        <v>2700</v>
      </c>
      <c r="P741" t="s">
        <v>54</v>
      </c>
      <c r="Q741" t="s">
        <v>33</v>
      </c>
      <c r="R741" t="str">
        <f>TEXT(SalesData[[#This Row],[Order Date]],"mmm")</f>
        <v>Nov</v>
      </c>
      <c r="S741" s="2" t="str">
        <f>"Q"&amp;ROUNDUP(MONTH(SalesData[[#This Row],[Order Date]])/3,0)</f>
        <v>Q4</v>
      </c>
      <c r="T741">
        <f>YEAR(SalesData[[#This Row],[Order Date]])</f>
        <v>2025</v>
      </c>
      <c r="U741">
        <f>SalesData[[#This Row],[Profit]]/SalesData[[#This Row],[Sales]]</f>
        <v>0.22222222222222221</v>
      </c>
    </row>
    <row r="742" spans="1:21" x14ac:dyDescent="0.25">
      <c r="A742" t="s">
        <v>993</v>
      </c>
      <c r="B742" s="1">
        <v>45936</v>
      </c>
      <c r="C742" t="s">
        <v>42</v>
      </c>
      <c r="D742" t="s">
        <v>310</v>
      </c>
      <c r="E742" t="s">
        <v>62</v>
      </c>
      <c r="F742" t="s">
        <v>63</v>
      </c>
      <c r="G742" t="s">
        <v>64</v>
      </c>
      <c r="H742" t="s">
        <v>32</v>
      </c>
      <c r="I742" t="s">
        <v>72</v>
      </c>
      <c r="J742">
        <v>3</v>
      </c>
      <c r="K742">
        <v>8500</v>
      </c>
      <c r="L742">
        <v>15</v>
      </c>
      <c r="M742">
        <v>21675</v>
      </c>
      <c r="N742">
        <v>17850</v>
      </c>
      <c r="O742">
        <v>3825</v>
      </c>
      <c r="P742" t="s">
        <v>40</v>
      </c>
      <c r="Q742" t="s">
        <v>26</v>
      </c>
      <c r="R742" t="str">
        <f>TEXT(SalesData[[#This Row],[Order Date]],"mmm")</f>
        <v>Oct</v>
      </c>
      <c r="S742" s="2" t="str">
        <f>"Q"&amp;ROUNDUP(MONTH(SalesData[[#This Row],[Order Date]])/3,0)</f>
        <v>Q4</v>
      </c>
      <c r="T742">
        <f>YEAR(SalesData[[#This Row],[Order Date]])</f>
        <v>2025</v>
      </c>
      <c r="U742">
        <f>SalesData[[#This Row],[Profit]]/SalesData[[#This Row],[Sales]]</f>
        <v>0.17647058823529413</v>
      </c>
    </row>
    <row r="743" spans="1:21" x14ac:dyDescent="0.25">
      <c r="A743" t="s">
        <v>994</v>
      </c>
      <c r="B743" s="1">
        <v>45669</v>
      </c>
      <c r="C743" t="s">
        <v>91</v>
      </c>
      <c r="D743" t="s">
        <v>275</v>
      </c>
      <c r="E743" t="s">
        <v>37</v>
      </c>
      <c r="F743" t="s">
        <v>38</v>
      </c>
      <c r="G743" t="s">
        <v>22</v>
      </c>
      <c r="H743" t="s">
        <v>46</v>
      </c>
      <c r="I743" t="s">
        <v>24</v>
      </c>
      <c r="J743">
        <v>6</v>
      </c>
      <c r="K743">
        <v>55000</v>
      </c>
      <c r="L743">
        <v>0</v>
      </c>
      <c r="M743">
        <v>330000</v>
      </c>
      <c r="N743">
        <v>231000</v>
      </c>
      <c r="O743">
        <v>99000.000000000029</v>
      </c>
      <c r="P743" t="s">
        <v>58</v>
      </c>
      <c r="Q743" t="s">
        <v>76</v>
      </c>
      <c r="R743" t="str">
        <f>TEXT(SalesData[[#This Row],[Order Date]],"mmm")</f>
        <v>Jan</v>
      </c>
      <c r="S743" s="2" t="str">
        <f>"Q"&amp;ROUNDUP(MONTH(SalesData[[#This Row],[Order Date]])/3,0)</f>
        <v>Q1</v>
      </c>
      <c r="T743">
        <f>YEAR(SalesData[[#This Row],[Order Date]])</f>
        <v>2025</v>
      </c>
      <c r="U743">
        <f>SalesData[[#This Row],[Profit]]/SalesData[[#This Row],[Sales]]</f>
        <v>0.3000000000000001</v>
      </c>
    </row>
    <row r="744" spans="1:21" x14ac:dyDescent="0.25">
      <c r="A744" t="s">
        <v>995</v>
      </c>
      <c r="B744" s="1">
        <v>45685</v>
      </c>
      <c r="C744" t="s">
        <v>78</v>
      </c>
      <c r="D744" t="s">
        <v>113</v>
      </c>
      <c r="E744" t="s">
        <v>50</v>
      </c>
      <c r="F744" t="s">
        <v>51</v>
      </c>
      <c r="G744" t="s">
        <v>52</v>
      </c>
      <c r="H744" t="s">
        <v>65</v>
      </c>
      <c r="I744" t="s">
        <v>72</v>
      </c>
      <c r="J744">
        <v>2</v>
      </c>
      <c r="K744">
        <v>3200</v>
      </c>
      <c r="L744">
        <v>15</v>
      </c>
      <c r="M744">
        <v>5440</v>
      </c>
      <c r="N744">
        <v>4480</v>
      </c>
      <c r="O744">
        <v>960</v>
      </c>
      <c r="P744" t="s">
        <v>25</v>
      </c>
      <c r="Q744" t="s">
        <v>76</v>
      </c>
      <c r="R744" t="str">
        <f>TEXT(SalesData[[#This Row],[Order Date]],"mmm")</f>
        <v>Jan</v>
      </c>
      <c r="S744" s="2" t="str">
        <f>"Q"&amp;ROUNDUP(MONTH(SalesData[[#This Row],[Order Date]])/3,0)</f>
        <v>Q1</v>
      </c>
      <c r="T744">
        <f>YEAR(SalesData[[#This Row],[Order Date]])</f>
        <v>2025</v>
      </c>
      <c r="U744">
        <f>SalesData[[#This Row],[Profit]]/SalesData[[#This Row],[Sales]]</f>
        <v>0.17647058823529413</v>
      </c>
    </row>
    <row r="745" spans="1:21" x14ac:dyDescent="0.25">
      <c r="A745" t="s">
        <v>996</v>
      </c>
      <c r="B745" s="1">
        <v>45830</v>
      </c>
      <c r="C745" t="s">
        <v>182</v>
      </c>
      <c r="D745" t="s">
        <v>142</v>
      </c>
      <c r="E745" t="s">
        <v>93</v>
      </c>
      <c r="F745" t="s">
        <v>94</v>
      </c>
      <c r="G745" t="s">
        <v>64</v>
      </c>
      <c r="H745" t="s">
        <v>65</v>
      </c>
      <c r="I745" t="s">
        <v>53</v>
      </c>
      <c r="J745">
        <v>7</v>
      </c>
      <c r="K745">
        <v>4500</v>
      </c>
      <c r="L745">
        <v>5</v>
      </c>
      <c r="M745">
        <v>29925</v>
      </c>
      <c r="N745">
        <v>22050</v>
      </c>
      <c r="O745">
        <v>7875</v>
      </c>
      <c r="P745" t="s">
        <v>54</v>
      </c>
      <c r="Q745" t="s">
        <v>76</v>
      </c>
      <c r="R745" t="str">
        <f>TEXT(SalesData[[#This Row],[Order Date]],"mmm")</f>
        <v>Jun</v>
      </c>
      <c r="S745" s="2" t="str">
        <f>"Q"&amp;ROUNDUP(MONTH(SalesData[[#This Row],[Order Date]])/3,0)</f>
        <v>Q2</v>
      </c>
      <c r="T745">
        <f>YEAR(SalesData[[#This Row],[Order Date]])</f>
        <v>2025</v>
      </c>
      <c r="U745">
        <f>SalesData[[#This Row],[Profit]]/SalesData[[#This Row],[Sales]]</f>
        <v>0.26315789473684209</v>
      </c>
    </row>
    <row r="746" spans="1:21" x14ac:dyDescent="0.25">
      <c r="A746" t="s">
        <v>997</v>
      </c>
      <c r="B746" s="1">
        <v>45707</v>
      </c>
      <c r="C746" t="s">
        <v>323</v>
      </c>
      <c r="D746" t="s">
        <v>142</v>
      </c>
      <c r="E746" t="s">
        <v>20</v>
      </c>
      <c r="F746" t="s">
        <v>21</v>
      </c>
      <c r="G746" t="s">
        <v>22</v>
      </c>
      <c r="H746" t="s">
        <v>32</v>
      </c>
      <c r="I746" t="s">
        <v>24</v>
      </c>
      <c r="J746">
        <v>9</v>
      </c>
      <c r="K746">
        <v>3500</v>
      </c>
      <c r="L746">
        <v>20</v>
      </c>
      <c r="M746">
        <v>25200</v>
      </c>
      <c r="N746">
        <v>22050</v>
      </c>
      <c r="O746">
        <v>3150</v>
      </c>
      <c r="P746" t="s">
        <v>58</v>
      </c>
      <c r="Q746" t="s">
        <v>33</v>
      </c>
      <c r="R746" t="str">
        <f>TEXT(SalesData[[#This Row],[Order Date]],"mmm")</f>
        <v>Feb</v>
      </c>
      <c r="S746" s="2" t="str">
        <f>"Q"&amp;ROUNDUP(MONTH(SalesData[[#This Row],[Order Date]])/3,0)</f>
        <v>Q1</v>
      </c>
      <c r="T746">
        <f>YEAR(SalesData[[#This Row],[Order Date]])</f>
        <v>2025</v>
      </c>
      <c r="U746">
        <f>SalesData[[#This Row],[Profit]]/SalesData[[#This Row],[Sales]]</f>
        <v>0.125</v>
      </c>
    </row>
    <row r="747" spans="1:21" x14ac:dyDescent="0.25">
      <c r="A747" t="s">
        <v>998</v>
      </c>
      <c r="B747" s="1">
        <v>45922</v>
      </c>
      <c r="C747" t="s">
        <v>18</v>
      </c>
      <c r="D747" t="s">
        <v>136</v>
      </c>
      <c r="E747" t="s">
        <v>70</v>
      </c>
      <c r="F747" t="s">
        <v>71</v>
      </c>
      <c r="G747" t="s">
        <v>22</v>
      </c>
      <c r="H747" t="s">
        <v>65</v>
      </c>
      <c r="I747" t="s">
        <v>66</v>
      </c>
      <c r="J747">
        <v>1</v>
      </c>
      <c r="K747">
        <v>1500</v>
      </c>
      <c r="L747">
        <v>15</v>
      </c>
      <c r="M747">
        <v>1275</v>
      </c>
      <c r="N747">
        <v>1050</v>
      </c>
      <c r="O747">
        <v>225</v>
      </c>
      <c r="P747" t="s">
        <v>25</v>
      </c>
      <c r="Q747" t="s">
        <v>76</v>
      </c>
      <c r="R747" t="str">
        <f>TEXT(SalesData[[#This Row],[Order Date]],"mmm")</f>
        <v>Sep</v>
      </c>
      <c r="S747" s="2" t="str">
        <f>"Q"&amp;ROUNDUP(MONTH(SalesData[[#This Row],[Order Date]])/3,0)</f>
        <v>Q3</v>
      </c>
      <c r="T747">
        <f>YEAR(SalesData[[#This Row],[Order Date]])</f>
        <v>2025</v>
      </c>
      <c r="U747">
        <f>SalesData[[#This Row],[Profit]]/SalesData[[#This Row],[Sales]]</f>
        <v>0.17647058823529413</v>
      </c>
    </row>
    <row r="748" spans="1:21" x14ac:dyDescent="0.25">
      <c r="A748" t="s">
        <v>999</v>
      </c>
      <c r="B748" s="1">
        <v>45892</v>
      </c>
      <c r="C748" t="s">
        <v>270</v>
      </c>
      <c r="D748" t="s">
        <v>133</v>
      </c>
      <c r="E748" t="s">
        <v>30</v>
      </c>
      <c r="F748" t="s">
        <v>31</v>
      </c>
      <c r="G748" t="s">
        <v>22</v>
      </c>
      <c r="H748" t="s">
        <v>32</v>
      </c>
      <c r="I748" t="s">
        <v>72</v>
      </c>
      <c r="J748">
        <v>9</v>
      </c>
      <c r="K748">
        <v>800</v>
      </c>
      <c r="L748">
        <v>10</v>
      </c>
      <c r="M748">
        <v>6480</v>
      </c>
      <c r="N748">
        <v>5040</v>
      </c>
      <c r="O748">
        <v>1440</v>
      </c>
      <c r="P748" t="s">
        <v>58</v>
      </c>
      <c r="Q748" t="s">
        <v>33</v>
      </c>
      <c r="R748" t="str">
        <f>TEXT(SalesData[[#This Row],[Order Date]],"mmm")</f>
        <v>Aug</v>
      </c>
      <c r="S748" s="2" t="str">
        <f>"Q"&amp;ROUNDUP(MONTH(SalesData[[#This Row],[Order Date]])/3,0)</f>
        <v>Q3</v>
      </c>
      <c r="T748">
        <f>YEAR(SalesData[[#This Row],[Order Date]])</f>
        <v>2025</v>
      </c>
      <c r="U748">
        <f>SalesData[[#This Row],[Profit]]/SalesData[[#This Row],[Sales]]</f>
        <v>0.22222222222222221</v>
      </c>
    </row>
    <row r="749" spans="1:21" x14ac:dyDescent="0.25">
      <c r="A749" t="s">
        <v>1000</v>
      </c>
      <c r="B749" s="1">
        <v>45675</v>
      </c>
      <c r="C749" t="s">
        <v>226</v>
      </c>
      <c r="D749" t="s">
        <v>247</v>
      </c>
      <c r="E749" t="s">
        <v>70</v>
      </c>
      <c r="F749" t="s">
        <v>71</v>
      </c>
      <c r="G749" t="s">
        <v>22</v>
      </c>
      <c r="H749" t="s">
        <v>32</v>
      </c>
      <c r="I749" t="s">
        <v>80</v>
      </c>
      <c r="J749">
        <v>8</v>
      </c>
      <c r="K749">
        <v>1500</v>
      </c>
      <c r="L749">
        <v>0</v>
      </c>
      <c r="M749">
        <v>12000</v>
      </c>
      <c r="N749">
        <v>8400</v>
      </c>
      <c r="O749">
        <v>3600</v>
      </c>
      <c r="P749" t="s">
        <v>25</v>
      </c>
      <c r="Q749" t="s">
        <v>76</v>
      </c>
      <c r="R749" t="str">
        <f>TEXT(SalesData[[#This Row],[Order Date]],"mmm")</f>
        <v>Jan</v>
      </c>
      <c r="S749" s="2" t="str">
        <f>"Q"&amp;ROUNDUP(MONTH(SalesData[[#This Row],[Order Date]])/3,0)</f>
        <v>Q1</v>
      </c>
      <c r="T749">
        <f>YEAR(SalesData[[#This Row],[Order Date]])</f>
        <v>2025</v>
      </c>
      <c r="U749">
        <f>SalesData[[#This Row],[Profit]]/SalesData[[#This Row],[Sales]]</f>
        <v>0.3</v>
      </c>
    </row>
    <row r="750" spans="1:21" x14ac:dyDescent="0.25">
      <c r="A750" t="s">
        <v>1001</v>
      </c>
      <c r="B750" s="1">
        <v>45800</v>
      </c>
      <c r="C750" t="s">
        <v>107</v>
      </c>
      <c r="D750" t="s">
        <v>358</v>
      </c>
      <c r="E750" t="s">
        <v>44</v>
      </c>
      <c r="F750" t="s">
        <v>45</v>
      </c>
      <c r="G750" t="s">
        <v>22</v>
      </c>
      <c r="H750" t="s">
        <v>23</v>
      </c>
      <c r="I750" t="s">
        <v>39</v>
      </c>
      <c r="J750">
        <v>5</v>
      </c>
      <c r="K750">
        <v>9500</v>
      </c>
      <c r="L750">
        <v>0</v>
      </c>
      <c r="M750">
        <v>47500</v>
      </c>
      <c r="N750">
        <v>33250</v>
      </c>
      <c r="O750">
        <v>14250</v>
      </c>
      <c r="P750" t="s">
        <v>25</v>
      </c>
      <c r="Q750" t="s">
        <v>26</v>
      </c>
      <c r="R750" t="str">
        <f>TEXT(SalesData[[#This Row],[Order Date]],"mmm")</f>
        <v>May</v>
      </c>
      <c r="S750" s="2" t="str">
        <f>"Q"&amp;ROUNDUP(MONTH(SalesData[[#This Row],[Order Date]])/3,0)</f>
        <v>Q2</v>
      </c>
      <c r="T750">
        <f>YEAR(SalesData[[#This Row],[Order Date]])</f>
        <v>2025</v>
      </c>
      <c r="U750">
        <f>SalesData[[#This Row],[Profit]]/SalesData[[#This Row],[Sales]]</f>
        <v>0.3</v>
      </c>
    </row>
    <row r="751" spans="1:21" x14ac:dyDescent="0.25">
      <c r="A751" t="s">
        <v>1002</v>
      </c>
      <c r="B751" s="1">
        <v>45776</v>
      </c>
      <c r="C751" t="s">
        <v>168</v>
      </c>
      <c r="D751" t="s">
        <v>174</v>
      </c>
      <c r="E751" t="s">
        <v>44</v>
      </c>
      <c r="F751" t="s">
        <v>45</v>
      </c>
      <c r="G751" t="s">
        <v>22</v>
      </c>
      <c r="H751" t="s">
        <v>46</v>
      </c>
      <c r="I751" t="s">
        <v>72</v>
      </c>
      <c r="J751">
        <v>3</v>
      </c>
      <c r="K751">
        <v>9500</v>
      </c>
      <c r="L751">
        <v>10</v>
      </c>
      <c r="M751">
        <v>25650</v>
      </c>
      <c r="N751">
        <v>19950</v>
      </c>
      <c r="O751">
        <v>5700</v>
      </c>
      <c r="P751" t="s">
        <v>40</v>
      </c>
      <c r="Q751" t="s">
        <v>76</v>
      </c>
      <c r="R751" t="str">
        <f>TEXT(SalesData[[#This Row],[Order Date]],"mmm")</f>
        <v>Apr</v>
      </c>
      <c r="S751" s="2" t="str">
        <f>"Q"&amp;ROUNDUP(MONTH(SalesData[[#This Row],[Order Date]])/3,0)</f>
        <v>Q2</v>
      </c>
      <c r="T751">
        <f>YEAR(SalesData[[#This Row],[Order Date]])</f>
        <v>2025</v>
      </c>
      <c r="U751">
        <f>SalesData[[#This Row],[Profit]]/SalesData[[#This Row],[Sales]]</f>
        <v>0.22222222222222221</v>
      </c>
    </row>
    <row r="752" spans="1:21" x14ac:dyDescent="0.25">
      <c r="A752" t="s">
        <v>1003</v>
      </c>
      <c r="B752" s="1">
        <v>45766</v>
      </c>
      <c r="C752" t="s">
        <v>150</v>
      </c>
      <c r="D752" t="s">
        <v>179</v>
      </c>
      <c r="E752" t="s">
        <v>50</v>
      </c>
      <c r="F752" t="s">
        <v>51</v>
      </c>
      <c r="G752" t="s">
        <v>52</v>
      </c>
      <c r="H752" t="s">
        <v>23</v>
      </c>
      <c r="I752" t="s">
        <v>39</v>
      </c>
      <c r="J752">
        <v>9</v>
      </c>
      <c r="K752">
        <v>3200</v>
      </c>
      <c r="L752">
        <v>15</v>
      </c>
      <c r="M752">
        <v>24480</v>
      </c>
      <c r="N752">
        <v>20160</v>
      </c>
      <c r="O752">
        <v>4320</v>
      </c>
      <c r="P752" t="s">
        <v>54</v>
      </c>
      <c r="Q752" t="s">
        <v>76</v>
      </c>
      <c r="R752" t="str">
        <f>TEXT(SalesData[[#This Row],[Order Date]],"mmm")</f>
        <v>Apr</v>
      </c>
      <c r="S752" s="2" t="str">
        <f>"Q"&amp;ROUNDUP(MONTH(SalesData[[#This Row],[Order Date]])/3,0)</f>
        <v>Q2</v>
      </c>
      <c r="T752">
        <f>YEAR(SalesData[[#This Row],[Order Date]])</f>
        <v>2025</v>
      </c>
      <c r="U752">
        <f>SalesData[[#This Row],[Profit]]/SalesData[[#This Row],[Sales]]</f>
        <v>0.17647058823529413</v>
      </c>
    </row>
    <row r="753" spans="1:21" x14ac:dyDescent="0.25">
      <c r="A753" t="s">
        <v>1004</v>
      </c>
      <c r="B753" s="1">
        <v>45814</v>
      </c>
      <c r="C753" t="s">
        <v>88</v>
      </c>
      <c r="D753" t="s">
        <v>75</v>
      </c>
      <c r="E753" t="s">
        <v>37</v>
      </c>
      <c r="F753" t="s">
        <v>38</v>
      </c>
      <c r="G753" t="s">
        <v>22</v>
      </c>
      <c r="H753" t="s">
        <v>23</v>
      </c>
      <c r="I753" t="s">
        <v>24</v>
      </c>
      <c r="J753">
        <v>5</v>
      </c>
      <c r="K753">
        <v>55000</v>
      </c>
      <c r="L753">
        <v>10</v>
      </c>
      <c r="M753">
        <v>247500</v>
      </c>
      <c r="N753">
        <v>192500</v>
      </c>
      <c r="O753">
        <v>55000</v>
      </c>
      <c r="P753" t="s">
        <v>40</v>
      </c>
      <c r="Q753" t="s">
        <v>33</v>
      </c>
      <c r="R753" t="str">
        <f>TEXT(SalesData[[#This Row],[Order Date]],"mmm")</f>
        <v>Jun</v>
      </c>
      <c r="S753" s="2" t="str">
        <f>"Q"&amp;ROUNDUP(MONTH(SalesData[[#This Row],[Order Date]])/3,0)</f>
        <v>Q2</v>
      </c>
      <c r="T753">
        <f>YEAR(SalesData[[#This Row],[Order Date]])</f>
        <v>2025</v>
      </c>
      <c r="U753">
        <f>SalesData[[#This Row],[Profit]]/SalesData[[#This Row],[Sales]]</f>
        <v>0.22222222222222221</v>
      </c>
    </row>
    <row r="754" spans="1:21" x14ac:dyDescent="0.25">
      <c r="A754" t="s">
        <v>1005</v>
      </c>
      <c r="B754" s="1">
        <v>45920</v>
      </c>
      <c r="C754" t="s">
        <v>229</v>
      </c>
      <c r="D754" t="s">
        <v>204</v>
      </c>
      <c r="E754" t="s">
        <v>44</v>
      </c>
      <c r="F754" t="s">
        <v>45</v>
      </c>
      <c r="G754" t="s">
        <v>22</v>
      </c>
      <c r="H754" t="s">
        <v>32</v>
      </c>
      <c r="I754" t="s">
        <v>53</v>
      </c>
      <c r="J754">
        <v>9</v>
      </c>
      <c r="K754">
        <v>9500</v>
      </c>
      <c r="L754">
        <v>10</v>
      </c>
      <c r="M754">
        <v>76950</v>
      </c>
      <c r="N754">
        <v>59849.999999999993</v>
      </c>
      <c r="O754">
        <v>17100.000000000011</v>
      </c>
      <c r="P754" t="s">
        <v>58</v>
      </c>
      <c r="Q754" t="s">
        <v>26</v>
      </c>
      <c r="R754" t="str">
        <f>TEXT(SalesData[[#This Row],[Order Date]],"mmm")</f>
        <v>Sep</v>
      </c>
      <c r="S754" s="2" t="str">
        <f>"Q"&amp;ROUNDUP(MONTH(SalesData[[#This Row],[Order Date]])/3,0)</f>
        <v>Q3</v>
      </c>
      <c r="T754">
        <f>YEAR(SalesData[[#This Row],[Order Date]])</f>
        <v>2025</v>
      </c>
      <c r="U754">
        <f>SalesData[[#This Row],[Profit]]/SalesData[[#This Row],[Sales]]</f>
        <v>0.22222222222222238</v>
      </c>
    </row>
    <row r="755" spans="1:21" x14ac:dyDescent="0.25">
      <c r="A755" t="s">
        <v>1006</v>
      </c>
      <c r="B755" s="1">
        <v>46000</v>
      </c>
      <c r="C755" t="s">
        <v>270</v>
      </c>
      <c r="D755" t="s">
        <v>128</v>
      </c>
      <c r="E755" t="s">
        <v>37</v>
      </c>
      <c r="F755" t="s">
        <v>38</v>
      </c>
      <c r="G755" t="s">
        <v>22</v>
      </c>
      <c r="H755" t="s">
        <v>32</v>
      </c>
      <c r="I755" t="s">
        <v>53</v>
      </c>
      <c r="J755">
        <v>4</v>
      </c>
      <c r="K755">
        <v>55000</v>
      </c>
      <c r="L755">
        <v>10</v>
      </c>
      <c r="M755">
        <v>198000</v>
      </c>
      <c r="N755">
        <v>154000</v>
      </c>
      <c r="O755">
        <v>44000</v>
      </c>
      <c r="P755" t="s">
        <v>25</v>
      </c>
      <c r="Q755" t="s">
        <v>76</v>
      </c>
      <c r="R755" t="str">
        <f>TEXT(SalesData[[#This Row],[Order Date]],"mmm")</f>
        <v>Dec</v>
      </c>
      <c r="S755" s="2" t="str">
        <f>"Q"&amp;ROUNDUP(MONTH(SalesData[[#This Row],[Order Date]])/3,0)</f>
        <v>Q4</v>
      </c>
      <c r="T755">
        <f>YEAR(SalesData[[#This Row],[Order Date]])</f>
        <v>2025</v>
      </c>
      <c r="U755">
        <f>SalesData[[#This Row],[Profit]]/SalesData[[#This Row],[Sales]]</f>
        <v>0.22222222222222221</v>
      </c>
    </row>
    <row r="756" spans="1:21" x14ac:dyDescent="0.25">
      <c r="A756" t="s">
        <v>1007</v>
      </c>
      <c r="B756" s="1">
        <v>45928</v>
      </c>
      <c r="C756" t="s">
        <v>176</v>
      </c>
      <c r="D756" t="s">
        <v>320</v>
      </c>
      <c r="E756" t="s">
        <v>62</v>
      </c>
      <c r="F756" t="s">
        <v>63</v>
      </c>
      <c r="G756" t="s">
        <v>64</v>
      </c>
      <c r="H756" t="s">
        <v>65</v>
      </c>
      <c r="I756" t="s">
        <v>39</v>
      </c>
      <c r="J756">
        <v>6</v>
      </c>
      <c r="K756">
        <v>8500</v>
      </c>
      <c r="L756">
        <v>10</v>
      </c>
      <c r="M756">
        <v>45900</v>
      </c>
      <c r="N756">
        <v>35700</v>
      </c>
      <c r="O756">
        <v>10200</v>
      </c>
      <c r="P756" t="s">
        <v>25</v>
      </c>
      <c r="Q756" t="s">
        <v>33</v>
      </c>
      <c r="R756" t="str">
        <f>TEXT(SalesData[[#This Row],[Order Date]],"mmm")</f>
        <v>Sep</v>
      </c>
      <c r="S756" s="2" t="str">
        <f>"Q"&amp;ROUNDUP(MONTH(SalesData[[#This Row],[Order Date]])/3,0)</f>
        <v>Q3</v>
      </c>
      <c r="T756">
        <f>YEAR(SalesData[[#This Row],[Order Date]])</f>
        <v>2025</v>
      </c>
      <c r="U756">
        <f>SalesData[[#This Row],[Profit]]/SalesData[[#This Row],[Sales]]</f>
        <v>0.22222222222222221</v>
      </c>
    </row>
    <row r="757" spans="1:21" x14ac:dyDescent="0.25">
      <c r="A757" t="s">
        <v>1008</v>
      </c>
      <c r="B757" s="1">
        <v>45744</v>
      </c>
      <c r="C757" t="s">
        <v>334</v>
      </c>
      <c r="D757" t="s">
        <v>92</v>
      </c>
      <c r="E757" t="s">
        <v>50</v>
      </c>
      <c r="F757" t="s">
        <v>51</v>
      </c>
      <c r="G757" t="s">
        <v>52</v>
      </c>
      <c r="H757" t="s">
        <v>23</v>
      </c>
      <c r="I757" t="s">
        <v>72</v>
      </c>
      <c r="J757">
        <v>5</v>
      </c>
      <c r="K757">
        <v>3200</v>
      </c>
      <c r="L757">
        <v>10</v>
      </c>
      <c r="M757">
        <v>14400</v>
      </c>
      <c r="N757">
        <v>11200</v>
      </c>
      <c r="O757">
        <v>3200</v>
      </c>
      <c r="P757" t="s">
        <v>25</v>
      </c>
      <c r="Q757" t="s">
        <v>26</v>
      </c>
      <c r="R757" t="str">
        <f>TEXT(SalesData[[#This Row],[Order Date]],"mmm")</f>
        <v>Mar</v>
      </c>
      <c r="S757" s="2" t="str">
        <f>"Q"&amp;ROUNDUP(MONTH(SalesData[[#This Row],[Order Date]])/3,0)</f>
        <v>Q1</v>
      </c>
      <c r="T757">
        <f>YEAR(SalesData[[#This Row],[Order Date]])</f>
        <v>2025</v>
      </c>
      <c r="U757">
        <f>SalesData[[#This Row],[Profit]]/SalesData[[#This Row],[Sales]]</f>
        <v>0.22222222222222221</v>
      </c>
    </row>
    <row r="758" spans="1:21" x14ac:dyDescent="0.25">
      <c r="A758" t="s">
        <v>1009</v>
      </c>
      <c r="B758" s="1">
        <v>45998</v>
      </c>
      <c r="C758" t="s">
        <v>250</v>
      </c>
      <c r="D758" t="s">
        <v>36</v>
      </c>
      <c r="E758" t="s">
        <v>70</v>
      </c>
      <c r="F758" t="s">
        <v>71</v>
      </c>
      <c r="G758" t="s">
        <v>22</v>
      </c>
      <c r="H758" t="s">
        <v>32</v>
      </c>
      <c r="I758" t="s">
        <v>24</v>
      </c>
      <c r="J758">
        <v>9</v>
      </c>
      <c r="K758">
        <v>1500</v>
      </c>
      <c r="L758">
        <v>10</v>
      </c>
      <c r="M758">
        <v>12150</v>
      </c>
      <c r="N758">
        <v>9450</v>
      </c>
      <c r="O758">
        <v>2700</v>
      </c>
      <c r="P758" t="s">
        <v>58</v>
      </c>
      <c r="Q758" t="s">
        <v>76</v>
      </c>
      <c r="R758" t="str">
        <f>TEXT(SalesData[[#This Row],[Order Date]],"mmm")</f>
        <v>Dec</v>
      </c>
      <c r="S758" s="2" t="str">
        <f>"Q"&amp;ROUNDUP(MONTH(SalesData[[#This Row],[Order Date]])/3,0)</f>
        <v>Q4</v>
      </c>
      <c r="T758">
        <f>YEAR(SalesData[[#This Row],[Order Date]])</f>
        <v>2025</v>
      </c>
      <c r="U758">
        <f>SalesData[[#This Row],[Profit]]/SalesData[[#This Row],[Sales]]</f>
        <v>0.22222222222222221</v>
      </c>
    </row>
    <row r="759" spans="1:21" x14ac:dyDescent="0.25">
      <c r="A759" t="s">
        <v>1010</v>
      </c>
      <c r="B759" s="1">
        <v>45662</v>
      </c>
      <c r="C759" t="s">
        <v>182</v>
      </c>
      <c r="D759" t="s">
        <v>444</v>
      </c>
      <c r="E759" t="s">
        <v>37</v>
      </c>
      <c r="F759" t="s">
        <v>38</v>
      </c>
      <c r="G759" t="s">
        <v>22</v>
      </c>
      <c r="H759" t="s">
        <v>32</v>
      </c>
      <c r="I759" t="s">
        <v>80</v>
      </c>
      <c r="J759">
        <v>7</v>
      </c>
      <c r="K759">
        <v>55000</v>
      </c>
      <c r="L759">
        <v>20</v>
      </c>
      <c r="M759">
        <v>308000</v>
      </c>
      <c r="N759">
        <v>269500</v>
      </c>
      <c r="O759">
        <v>38500</v>
      </c>
      <c r="P759" t="s">
        <v>40</v>
      </c>
      <c r="Q759" t="s">
        <v>26</v>
      </c>
      <c r="R759" t="str">
        <f>TEXT(SalesData[[#This Row],[Order Date]],"mmm")</f>
        <v>Jan</v>
      </c>
      <c r="S759" s="2" t="str">
        <f>"Q"&amp;ROUNDUP(MONTH(SalesData[[#This Row],[Order Date]])/3,0)</f>
        <v>Q1</v>
      </c>
      <c r="T759">
        <f>YEAR(SalesData[[#This Row],[Order Date]])</f>
        <v>2025</v>
      </c>
      <c r="U759">
        <f>SalesData[[#This Row],[Profit]]/SalesData[[#This Row],[Sales]]</f>
        <v>0.125</v>
      </c>
    </row>
    <row r="760" spans="1:21" x14ac:dyDescent="0.25">
      <c r="A760" t="s">
        <v>1011</v>
      </c>
      <c r="B760" s="1">
        <v>45673</v>
      </c>
      <c r="C760" t="s">
        <v>418</v>
      </c>
      <c r="D760" t="s">
        <v>235</v>
      </c>
      <c r="E760" t="s">
        <v>62</v>
      </c>
      <c r="F760" t="s">
        <v>63</v>
      </c>
      <c r="G760" t="s">
        <v>64</v>
      </c>
      <c r="H760" t="s">
        <v>46</v>
      </c>
      <c r="I760" t="s">
        <v>66</v>
      </c>
      <c r="J760">
        <v>5</v>
      </c>
      <c r="K760">
        <v>8500</v>
      </c>
      <c r="L760">
        <v>20</v>
      </c>
      <c r="M760">
        <v>34000</v>
      </c>
      <c r="N760">
        <v>29750</v>
      </c>
      <c r="O760">
        <v>4250.0000000000036</v>
      </c>
      <c r="P760" t="s">
        <v>54</v>
      </c>
      <c r="Q760" t="s">
        <v>33</v>
      </c>
      <c r="R760" t="str">
        <f>TEXT(SalesData[[#This Row],[Order Date]],"mmm")</f>
        <v>Jan</v>
      </c>
      <c r="S760" s="2" t="str">
        <f>"Q"&amp;ROUNDUP(MONTH(SalesData[[#This Row],[Order Date]])/3,0)</f>
        <v>Q1</v>
      </c>
      <c r="T760">
        <f>YEAR(SalesData[[#This Row],[Order Date]])</f>
        <v>2025</v>
      </c>
      <c r="U760">
        <f>SalesData[[#This Row],[Profit]]/SalesData[[#This Row],[Sales]]</f>
        <v>0.12500000000000011</v>
      </c>
    </row>
    <row r="761" spans="1:21" x14ac:dyDescent="0.25">
      <c r="A761" t="s">
        <v>1012</v>
      </c>
      <c r="B761" s="1">
        <v>45696</v>
      </c>
      <c r="C761" t="s">
        <v>28</v>
      </c>
      <c r="D761" t="s">
        <v>108</v>
      </c>
      <c r="E761" t="s">
        <v>50</v>
      </c>
      <c r="F761" t="s">
        <v>51</v>
      </c>
      <c r="G761" t="s">
        <v>52</v>
      </c>
      <c r="H761" t="s">
        <v>23</v>
      </c>
      <c r="I761" t="s">
        <v>53</v>
      </c>
      <c r="J761">
        <v>10</v>
      </c>
      <c r="K761">
        <v>3200</v>
      </c>
      <c r="L761">
        <v>15</v>
      </c>
      <c r="M761">
        <v>27200</v>
      </c>
      <c r="N761">
        <v>22400</v>
      </c>
      <c r="O761">
        <v>4800</v>
      </c>
      <c r="P761" t="s">
        <v>58</v>
      </c>
      <c r="Q761" t="s">
        <v>33</v>
      </c>
      <c r="R761" t="str">
        <f>TEXT(SalesData[[#This Row],[Order Date]],"mmm")</f>
        <v>Feb</v>
      </c>
      <c r="S761" s="2" t="str">
        <f>"Q"&amp;ROUNDUP(MONTH(SalesData[[#This Row],[Order Date]])/3,0)</f>
        <v>Q1</v>
      </c>
      <c r="T761">
        <f>YEAR(SalesData[[#This Row],[Order Date]])</f>
        <v>2025</v>
      </c>
      <c r="U761">
        <f>SalesData[[#This Row],[Profit]]/SalesData[[#This Row],[Sales]]</f>
        <v>0.17647058823529413</v>
      </c>
    </row>
    <row r="762" spans="1:21" x14ac:dyDescent="0.25">
      <c r="A762" t="s">
        <v>1013</v>
      </c>
      <c r="B762" s="1">
        <v>45747</v>
      </c>
      <c r="C762" t="s">
        <v>367</v>
      </c>
      <c r="D762" t="s">
        <v>89</v>
      </c>
      <c r="E762" t="s">
        <v>30</v>
      </c>
      <c r="F762" t="s">
        <v>31</v>
      </c>
      <c r="G762" t="s">
        <v>22</v>
      </c>
      <c r="H762" t="s">
        <v>23</v>
      </c>
      <c r="I762" t="s">
        <v>53</v>
      </c>
      <c r="J762">
        <v>6</v>
      </c>
      <c r="K762">
        <v>800</v>
      </c>
      <c r="L762">
        <v>20</v>
      </c>
      <c r="M762">
        <v>3840</v>
      </c>
      <c r="N762">
        <v>3360</v>
      </c>
      <c r="O762">
        <v>480</v>
      </c>
      <c r="P762" t="s">
        <v>40</v>
      </c>
      <c r="Q762" t="s">
        <v>76</v>
      </c>
      <c r="R762" t="str">
        <f>TEXT(SalesData[[#This Row],[Order Date]],"mmm")</f>
        <v>Mar</v>
      </c>
      <c r="S762" s="2" t="str">
        <f>"Q"&amp;ROUNDUP(MONTH(SalesData[[#This Row],[Order Date]])/3,0)</f>
        <v>Q1</v>
      </c>
      <c r="T762">
        <f>YEAR(SalesData[[#This Row],[Order Date]])</f>
        <v>2025</v>
      </c>
      <c r="U762">
        <f>SalesData[[#This Row],[Profit]]/SalesData[[#This Row],[Sales]]</f>
        <v>0.125</v>
      </c>
    </row>
    <row r="763" spans="1:21" x14ac:dyDescent="0.25">
      <c r="A763" t="s">
        <v>1014</v>
      </c>
      <c r="B763" s="1">
        <v>45825</v>
      </c>
      <c r="C763" t="s">
        <v>376</v>
      </c>
      <c r="D763" t="s">
        <v>130</v>
      </c>
      <c r="E763" t="s">
        <v>37</v>
      </c>
      <c r="F763" t="s">
        <v>38</v>
      </c>
      <c r="G763" t="s">
        <v>22</v>
      </c>
      <c r="H763" t="s">
        <v>32</v>
      </c>
      <c r="I763" t="s">
        <v>80</v>
      </c>
      <c r="J763">
        <v>9</v>
      </c>
      <c r="K763">
        <v>55000</v>
      </c>
      <c r="L763">
        <v>5</v>
      </c>
      <c r="M763">
        <v>470250</v>
      </c>
      <c r="N763">
        <v>346500</v>
      </c>
      <c r="O763">
        <v>123750</v>
      </c>
      <c r="P763" t="s">
        <v>40</v>
      </c>
      <c r="Q763" t="s">
        <v>76</v>
      </c>
      <c r="R763" t="str">
        <f>TEXT(SalesData[[#This Row],[Order Date]],"mmm")</f>
        <v>Jun</v>
      </c>
      <c r="S763" s="2" t="str">
        <f>"Q"&amp;ROUNDUP(MONTH(SalesData[[#This Row],[Order Date]])/3,0)</f>
        <v>Q2</v>
      </c>
      <c r="T763">
        <f>YEAR(SalesData[[#This Row],[Order Date]])</f>
        <v>2025</v>
      </c>
      <c r="U763">
        <f>SalesData[[#This Row],[Profit]]/SalesData[[#This Row],[Sales]]</f>
        <v>0.26315789473684209</v>
      </c>
    </row>
    <row r="764" spans="1:21" x14ac:dyDescent="0.25">
      <c r="A764" t="s">
        <v>1015</v>
      </c>
      <c r="B764" s="1">
        <v>45868</v>
      </c>
      <c r="C764" t="s">
        <v>132</v>
      </c>
      <c r="D764" t="s">
        <v>57</v>
      </c>
      <c r="E764" t="s">
        <v>50</v>
      </c>
      <c r="F764" t="s">
        <v>51</v>
      </c>
      <c r="G764" t="s">
        <v>52</v>
      </c>
      <c r="H764" t="s">
        <v>46</v>
      </c>
      <c r="I764" t="s">
        <v>66</v>
      </c>
      <c r="J764">
        <v>7</v>
      </c>
      <c r="K764">
        <v>3200</v>
      </c>
      <c r="L764">
        <v>0</v>
      </c>
      <c r="M764">
        <v>22400</v>
      </c>
      <c r="N764">
        <v>15680</v>
      </c>
      <c r="O764">
        <v>6720.0000000000018</v>
      </c>
      <c r="P764" t="s">
        <v>58</v>
      </c>
      <c r="Q764" t="s">
        <v>26</v>
      </c>
      <c r="R764" t="str">
        <f>TEXT(SalesData[[#This Row],[Order Date]],"mmm")</f>
        <v>Jul</v>
      </c>
      <c r="S764" s="2" t="str">
        <f>"Q"&amp;ROUNDUP(MONTH(SalesData[[#This Row],[Order Date]])/3,0)</f>
        <v>Q3</v>
      </c>
      <c r="T764">
        <f>YEAR(SalesData[[#This Row],[Order Date]])</f>
        <v>2025</v>
      </c>
      <c r="U764">
        <f>SalesData[[#This Row],[Profit]]/SalesData[[#This Row],[Sales]]</f>
        <v>0.3000000000000001</v>
      </c>
    </row>
    <row r="765" spans="1:21" x14ac:dyDescent="0.25">
      <c r="A765" t="s">
        <v>1016</v>
      </c>
      <c r="B765" s="1">
        <v>45791</v>
      </c>
      <c r="C765" t="s">
        <v>323</v>
      </c>
      <c r="D765" t="s">
        <v>179</v>
      </c>
      <c r="E765" t="s">
        <v>62</v>
      </c>
      <c r="F765" t="s">
        <v>63</v>
      </c>
      <c r="G765" t="s">
        <v>64</v>
      </c>
      <c r="H765" t="s">
        <v>32</v>
      </c>
      <c r="I765" t="s">
        <v>53</v>
      </c>
      <c r="J765">
        <v>8</v>
      </c>
      <c r="K765">
        <v>8500</v>
      </c>
      <c r="L765">
        <v>5</v>
      </c>
      <c r="M765">
        <v>64600</v>
      </c>
      <c r="N765">
        <v>47600</v>
      </c>
      <c r="O765">
        <v>17000</v>
      </c>
      <c r="P765" t="s">
        <v>58</v>
      </c>
      <c r="Q765" t="s">
        <v>76</v>
      </c>
      <c r="R765" t="str">
        <f>TEXT(SalesData[[#This Row],[Order Date]],"mmm")</f>
        <v>May</v>
      </c>
      <c r="S765" s="2" t="str">
        <f>"Q"&amp;ROUNDUP(MONTH(SalesData[[#This Row],[Order Date]])/3,0)</f>
        <v>Q2</v>
      </c>
      <c r="T765">
        <f>YEAR(SalesData[[#This Row],[Order Date]])</f>
        <v>2025</v>
      </c>
      <c r="U765">
        <f>SalesData[[#This Row],[Profit]]/SalesData[[#This Row],[Sales]]</f>
        <v>0.26315789473684209</v>
      </c>
    </row>
    <row r="766" spans="1:21" x14ac:dyDescent="0.25">
      <c r="A766" t="s">
        <v>1017</v>
      </c>
      <c r="B766" s="1">
        <v>45906</v>
      </c>
      <c r="C766" t="s">
        <v>212</v>
      </c>
      <c r="D766" t="s">
        <v>188</v>
      </c>
      <c r="E766" t="s">
        <v>50</v>
      </c>
      <c r="F766" t="s">
        <v>51</v>
      </c>
      <c r="G766" t="s">
        <v>52</v>
      </c>
      <c r="H766" t="s">
        <v>46</v>
      </c>
      <c r="I766" t="s">
        <v>24</v>
      </c>
      <c r="J766">
        <v>9</v>
      </c>
      <c r="K766">
        <v>3200</v>
      </c>
      <c r="L766">
        <v>20</v>
      </c>
      <c r="M766">
        <v>23040</v>
      </c>
      <c r="N766">
        <v>20160</v>
      </c>
      <c r="O766">
        <v>2880</v>
      </c>
      <c r="P766" t="s">
        <v>58</v>
      </c>
      <c r="Q766" t="s">
        <v>33</v>
      </c>
      <c r="R766" t="str">
        <f>TEXT(SalesData[[#This Row],[Order Date]],"mmm")</f>
        <v>Sep</v>
      </c>
      <c r="S766" s="2" t="str">
        <f>"Q"&amp;ROUNDUP(MONTH(SalesData[[#This Row],[Order Date]])/3,0)</f>
        <v>Q3</v>
      </c>
      <c r="T766">
        <f>YEAR(SalesData[[#This Row],[Order Date]])</f>
        <v>2025</v>
      </c>
      <c r="U766">
        <f>SalesData[[#This Row],[Profit]]/SalesData[[#This Row],[Sales]]</f>
        <v>0.125</v>
      </c>
    </row>
    <row r="767" spans="1:21" x14ac:dyDescent="0.25">
      <c r="A767" t="s">
        <v>1018</v>
      </c>
      <c r="B767" s="1">
        <v>45769</v>
      </c>
      <c r="C767" t="s">
        <v>471</v>
      </c>
      <c r="D767" t="s">
        <v>394</v>
      </c>
      <c r="E767" t="s">
        <v>37</v>
      </c>
      <c r="F767" t="s">
        <v>38</v>
      </c>
      <c r="G767" t="s">
        <v>22</v>
      </c>
      <c r="H767" t="s">
        <v>65</v>
      </c>
      <c r="I767" t="s">
        <v>24</v>
      </c>
      <c r="J767">
        <v>8</v>
      </c>
      <c r="K767">
        <v>55000</v>
      </c>
      <c r="L767">
        <v>0</v>
      </c>
      <c r="M767">
        <v>440000</v>
      </c>
      <c r="N767">
        <v>308000</v>
      </c>
      <c r="O767">
        <v>132000</v>
      </c>
      <c r="P767" t="s">
        <v>25</v>
      </c>
      <c r="Q767" t="s">
        <v>26</v>
      </c>
      <c r="R767" t="str">
        <f>TEXT(SalesData[[#This Row],[Order Date]],"mmm")</f>
        <v>Apr</v>
      </c>
      <c r="S767" s="2" t="str">
        <f>"Q"&amp;ROUNDUP(MONTH(SalesData[[#This Row],[Order Date]])/3,0)</f>
        <v>Q2</v>
      </c>
      <c r="T767">
        <f>YEAR(SalesData[[#This Row],[Order Date]])</f>
        <v>2025</v>
      </c>
      <c r="U767">
        <f>SalesData[[#This Row],[Profit]]/SalesData[[#This Row],[Sales]]</f>
        <v>0.3</v>
      </c>
    </row>
    <row r="768" spans="1:21" x14ac:dyDescent="0.25">
      <c r="A768" t="s">
        <v>1019</v>
      </c>
      <c r="B768" s="1">
        <v>45873</v>
      </c>
      <c r="C768" t="s">
        <v>155</v>
      </c>
      <c r="D768" t="s">
        <v>262</v>
      </c>
      <c r="E768" t="s">
        <v>62</v>
      </c>
      <c r="F768" t="s">
        <v>63</v>
      </c>
      <c r="G768" t="s">
        <v>64</v>
      </c>
      <c r="H768" t="s">
        <v>32</v>
      </c>
      <c r="I768" t="s">
        <v>24</v>
      </c>
      <c r="J768">
        <v>3</v>
      </c>
      <c r="K768">
        <v>8500</v>
      </c>
      <c r="L768">
        <v>5</v>
      </c>
      <c r="M768">
        <v>24225</v>
      </c>
      <c r="N768">
        <v>17850</v>
      </c>
      <c r="O768">
        <v>6375</v>
      </c>
      <c r="P768" t="s">
        <v>25</v>
      </c>
      <c r="Q768" t="s">
        <v>33</v>
      </c>
      <c r="R768" t="str">
        <f>TEXT(SalesData[[#This Row],[Order Date]],"mmm")</f>
        <v>Aug</v>
      </c>
      <c r="S768" s="2" t="str">
        <f>"Q"&amp;ROUNDUP(MONTH(SalesData[[#This Row],[Order Date]])/3,0)</f>
        <v>Q3</v>
      </c>
      <c r="T768">
        <f>YEAR(SalesData[[#This Row],[Order Date]])</f>
        <v>2025</v>
      </c>
      <c r="U768">
        <f>SalesData[[#This Row],[Profit]]/SalesData[[#This Row],[Sales]]</f>
        <v>0.26315789473684209</v>
      </c>
    </row>
    <row r="769" spans="1:21" x14ac:dyDescent="0.25">
      <c r="A769" t="s">
        <v>1020</v>
      </c>
      <c r="B769" s="1">
        <v>45774</v>
      </c>
      <c r="C769" t="s">
        <v>82</v>
      </c>
      <c r="D769" t="s">
        <v>191</v>
      </c>
      <c r="E769" t="s">
        <v>20</v>
      </c>
      <c r="F769" t="s">
        <v>21</v>
      </c>
      <c r="G769" t="s">
        <v>22</v>
      </c>
      <c r="H769" t="s">
        <v>46</v>
      </c>
      <c r="I769" t="s">
        <v>72</v>
      </c>
      <c r="J769">
        <v>8</v>
      </c>
      <c r="K769">
        <v>3500</v>
      </c>
      <c r="L769">
        <v>15</v>
      </c>
      <c r="M769">
        <v>23800</v>
      </c>
      <c r="N769">
        <v>19600</v>
      </c>
      <c r="O769">
        <v>4200</v>
      </c>
      <c r="P769" t="s">
        <v>54</v>
      </c>
      <c r="Q769" t="s">
        <v>76</v>
      </c>
      <c r="R769" t="str">
        <f>TEXT(SalesData[[#This Row],[Order Date]],"mmm")</f>
        <v>Apr</v>
      </c>
      <c r="S769" s="2" t="str">
        <f>"Q"&amp;ROUNDUP(MONTH(SalesData[[#This Row],[Order Date]])/3,0)</f>
        <v>Q2</v>
      </c>
      <c r="T769">
        <f>YEAR(SalesData[[#This Row],[Order Date]])</f>
        <v>2025</v>
      </c>
      <c r="U769">
        <f>SalesData[[#This Row],[Profit]]/SalesData[[#This Row],[Sales]]</f>
        <v>0.17647058823529413</v>
      </c>
    </row>
    <row r="770" spans="1:21" x14ac:dyDescent="0.25">
      <c r="A770" t="s">
        <v>1021</v>
      </c>
      <c r="B770" s="1">
        <v>45726</v>
      </c>
      <c r="C770" t="s">
        <v>623</v>
      </c>
      <c r="D770" t="s">
        <v>505</v>
      </c>
      <c r="E770" t="s">
        <v>30</v>
      </c>
      <c r="F770" t="s">
        <v>31</v>
      </c>
      <c r="G770" t="s">
        <v>22</v>
      </c>
      <c r="H770" t="s">
        <v>32</v>
      </c>
      <c r="I770" t="s">
        <v>80</v>
      </c>
      <c r="J770">
        <v>2</v>
      </c>
      <c r="K770">
        <v>800</v>
      </c>
      <c r="L770">
        <v>5</v>
      </c>
      <c r="M770">
        <v>1520</v>
      </c>
      <c r="N770">
        <v>1120</v>
      </c>
      <c r="O770">
        <v>400</v>
      </c>
      <c r="P770" t="s">
        <v>25</v>
      </c>
      <c r="Q770" t="s">
        <v>76</v>
      </c>
      <c r="R770" t="str">
        <f>TEXT(SalesData[[#This Row],[Order Date]],"mmm")</f>
        <v>Mar</v>
      </c>
      <c r="S770" s="2" t="str">
        <f>"Q"&amp;ROUNDUP(MONTH(SalesData[[#This Row],[Order Date]])/3,0)</f>
        <v>Q1</v>
      </c>
      <c r="T770">
        <f>YEAR(SalesData[[#This Row],[Order Date]])</f>
        <v>2025</v>
      </c>
      <c r="U770">
        <f>SalesData[[#This Row],[Profit]]/SalesData[[#This Row],[Sales]]</f>
        <v>0.26315789473684209</v>
      </c>
    </row>
    <row r="771" spans="1:21" x14ac:dyDescent="0.25">
      <c r="A771" t="s">
        <v>1022</v>
      </c>
      <c r="B771" s="1">
        <v>45903</v>
      </c>
      <c r="C771" t="s">
        <v>125</v>
      </c>
      <c r="D771" t="s">
        <v>342</v>
      </c>
      <c r="E771" t="s">
        <v>62</v>
      </c>
      <c r="F771" t="s">
        <v>63</v>
      </c>
      <c r="G771" t="s">
        <v>64</v>
      </c>
      <c r="H771" t="s">
        <v>65</v>
      </c>
      <c r="I771" t="s">
        <v>66</v>
      </c>
      <c r="J771">
        <v>5</v>
      </c>
      <c r="K771">
        <v>8500</v>
      </c>
      <c r="L771">
        <v>0</v>
      </c>
      <c r="M771">
        <v>42500</v>
      </c>
      <c r="N771">
        <v>29750</v>
      </c>
      <c r="O771">
        <v>12750</v>
      </c>
      <c r="P771" t="s">
        <v>40</v>
      </c>
      <c r="Q771" t="s">
        <v>76</v>
      </c>
      <c r="R771" t="str">
        <f>TEXT(SalesData[[#This Row],[Order Date]],"mmm")</f>
        <v>Sep</v>
      </c>
      <c r="S771" s="2" t="str">
        <f>"Q"&amp;ROUNDUP(MONTH(SalesData[[#This Row],[Order Date]])/3,0)</f>
        <v>Q3</v>
      </c>
      <c r="T771">
        <f>YEAR(SalesData[[#This Row],[Order Date]])</f>
        <v>2025</v>
      </c>
      <c r="U771">
        <f>SalesData[[#This Row],[Profit]]/SalesData[[#This Row],[Sales]]</f>
        <v>0.3</v>
      </c>
    </row>
    <row r="772" spans="1:21" x14ac:dyDescent="0.25">
      <c r="A772" t="s">
        <v>1023</v>
      </c>
      <c r="B772" s="1">
        <v>45718</v>
      </c>
      <c r="C772" t="s">
        <v>107</v>
      </c>
      <c r="D772" t="s">
        <v>204</v>
      </c>
      <c r="E772" t="s">
        <v>62</v>
      </c>
      <c r="F772" t="s">
        <v>63</v>
      </c>
      <c r="G772" t="s">
        <v>64</v>
      </c>
      <c r="H772" t="s">
        <v>65</v>
      </c>
      <c r="I772" t="s">
        <v>72</v>
      </c>
      <c r="J772">
        <v>2</v>
      </c>
      <c r="K772">
        <v>8500</v>
      </c>
      <c r="L772">
        <v>15</v>
      </c>
      <c r="M772">
        <v>14450</v>
      </c>
      <c r="N772">
        <v>11900</v>
      </c>
      <c r="O772">
        <v>2550</v>
      </c>
      <c r="P772" t="s">
        <v>25</v>
      </c>
      <c r="Q772" t="s">
        <v>76</v>
      </c>
      <c r="R772" t="str">
        <f>TEXT(SalesData[[#This Row],[Order Date]],"mmm")</f>
        <v>Mar</v>
      </c>
      <c r="S772" s="2" t="str">
        <f>"Q"&amp;ROUNDUP(MONTH(SalesData[[#This Row],[Order Date]])/3,0)</f>
        <v>Q1</v>
      </c>
      <c r="T772">
        <f>YEAR(SalesData[[#This Row],[Order Date]])</f>
        <v>2025</v>
      </c>
      <c r="U772">
        <f>SalesData[[#This Row],[Profit]]/SalesData[[#This Row],[Sales]]</f>
        <v>0.17647058823529413</v>
      </c>
    </row>
    <row r="773" spans="1:21" x14ac:dyDescent="0.25">
      <c r="A773" t="s">
        <v>1024</v>
      </c>
      <c r="B773" s="1">
        <v>45954</v>
      </c>
      <c r="C773" t="s">
        <v>221</v>
      </c>
      <c r="D773" t="s">
        <v>874</v>
      </c>
      <c r="E773" t="s">
        <v>93</v>
      </c>
      <c r="F773" t="s">
        <v>94</v>
      </c>
      <c r="G773" t="s">
        <v>64</v>
      </c>
      <c r="H773" t="s">
        <v>65</v>
      </c>
      <c r="I773" t="s">
        <v>39</v>
      </c>
      <c r="J773">
        <v>7</v>
      </c>
      <c r="K773">
        <v>4500</v>
      </c>
      <c r="L773">
        <v>10</v>
      </c>
      <c r="M773">
        <v>28350</v>
      </c>
      <c r="N773">
        <v>22050</v>
      </c>
      <c r="O773">
        <v>6300</v>
      </c>
      <c r="P773" t="s">
        <v>58</v>
      </c>
      <c r="Q773" t="s">
        <v>26</v>
      </c>
      <c r="R773" t="str">
        <f>TEXT(SalesData[[#This Row],[Order Date]],"mmm")</f>
        <v>Oct</v>
      </c>
      <c r="S773" s="2" t="str">
        <f>"Q"&amp;ROUNDUP(MONTH(SalesData[[#This Row],[Order Date]])/3,0)</f>
        <v>Q4</v>
      </c>
      <c r="T773">
        <f>YEAR(SalesData[[#This Row],[Order Date]])</f>
        <v>2025</v>
      </c>
      <c r="U773">
        <f>SalesData[[#This Row],[Profit]]/SalesData[[#This Row],[Sales]]</f>
        <v>0.22222222222222221</v>
      </c>
    </row>
    <row r="774" spans="1:21" x14ac:dyDescent="0.25">
      <c r="A774" t="s">
        <v>1025</v>
      </c>
      <c r="B774" s="1">
        <v>45894</v>
      </c>
      <c r="C774" t="s">
        <v>115</v>
      </c>
      <c r="D774" t="s">
        <v>19</v>
      </c>
      <c r="E774" t="s">
        <v>50</v>
      </c>
      <c r="F774" t="s">
        <v>51</v>
      </c>
      <c r="G774" t="s">
        <v>52</v>
      </c>
      <c r="H774" t="s">
        <v>65</v>
      </c>
      <c r="I774" t="s">
        <v>80</v>
      </c>
      <c r="J774">
        <v>10</v>
      </c>
      <c r="K774">
        <v>3200</v>
      </c>
      <c r="L774">
        <v>10</v>
      </c>
      <c r="M774">
        <v>28800</v>
      </c>
      <c r="N774">
        <v>22400</v>
      </c>
      <c r="O774">
        <v>6400</v>
      </c>
      <c r="P774" t="s">
        <v>40</v>
      </c>
      <c r="Q774" t="s">
        <v>33</v>
      </c>
      <c r="R774" t="str">
        <f>TEXT(SalesData[[#This Row],[Order Date]],"mmm")</f>
        <v>Aug</v>
      </c>
      <c r="S774" s="2" t="str">
        <f>"Q"&amp;ROUNDUP(MONTH(SalesData[[#This Row],[Order Date]])/3,0)</f>
        <v>Q3</v>
      </c>
      <c r="T774">
        <f>YEAR(SalesData[[#This Row],[Order Date]])</f>
        <v>2025</v>
      </c>
      <c r="U774">
        <f>SalesData[[#This Row],[Profit]]/SalesData[[#This Row],[Sales]]</f>
        <v>0.22222222222222221</v>
      </c>
    </row>
    <row r="775" spans="1:21" x14ac:dyDescent="0.25">
      <c r="A775" t="s">
        <v>1026</v>
      </c>
      <c r="B775" s="1">
        <v>45905</v>
      </c>
      <c r="C775" t="s">
        <v>418</v>
      </c>
      <c r="D775" t="s">
        <v>179</v>
      </c>
      <c r="E775" t="s">
        <v>62</v>
      </c>
      <c r="F775" t="s">
        <v>63</v>
      </c>
      <c r="G775" t="s">
        <v>64</v>
      </c>
      <c r="H775" t="s">
        <v>65</v>
      </c>
      <c r="I775" t="s">
        <v>72</v>
      </c>
      <c r="J775">
        <v>5</v>
      </c>
      <c r="K775">
        <v>8500</v>
      </c>
      <c r="L775">
        <v>20</v>
      </c>
      <c r="M775">
        <v>34000</v>
      </c>
      <c r="N775">
        <v>29750</v>
      </c>
      <c r="O775">
        <v>4250.0000000000036</v>
      </c>
      <c r="P775" t="s">
        <v>25</v>
      </c>
      <c r="Q775" t="s">
        <v>76</v>
      </c>
      <c r="R775" t="str">
        <f>TEXT(SalesData[[#This Row],[Order Date]],"mmm")</f>
        <v>Sep</v>
      </c>
      <c r="S775" s="2" t="str">
        <f>"Q"&amp;ROUNDUP(MONTH(SalesData[[#This Row],[Order Date]])/3,0)</f>
        <v>Q3</v>
      </c>
      <c r="T775">
        <f>YEAR(SalesData[[#This Row],[Order Date]])</f>
        <v>2025</v>
      </c>
      <c r="U775">
        <f>SalesData[[#This Row],[Profit]]/SalesData[[#This Row],[Sales]]</f>
        <v>0.12500000000000011</v>
      </c>
    </row>
    <row r="776" spans="1:21" x14ac:dyDescent="0.25">
      <c r="A776" t="s">
        <v>1027</v>
      </c>
      <c r="B776" s="1">
        <v>45966</v>
      </c>
      <c r="C776" t="s">
        <v>457</v>
      </c>
      <c r="D776" t="s">
        <v>110</v>
      </c>
      <c r="E776" t="s">
        <v>50</v>
      </c>
      <c r="F776" t="s">
        <v>51</v>
      </c>
      <c r="G776" t="s">
        <v>52</v>
      </c>
      <c r="H776" t="s">
        <v>46</v>
      </c>
      <c r="I776" t="s">
        <v>53</v>
      </c>
      <c r="J776">
        <v>9</v>
      </c>
      <c r="K776">
        <v>3200</v>
      </c>
      <c r="L776">
        <v>5</v>
      </c>
      <c r="M776">
        <v>27360</v>
      </c>
      <c r="N776">
        <v>20160</v>
      </c>
      <c r="O776">
        <v>7200</v>
      </c>
      <c r="P776" t="s">
        <v>58</v>
      </c>
      <c r="Q776" t="s">
        <v>76</v>
      </c>
      <c r="R776" t="str">
        <f>TEXT(SalesData[[#This Row],[Order Date]],"mmm")</f>
        <v>Nov</v>
      </c>
      <c r="S776" s="2" t="str">
        <f>"Q"&amp;ROUNDUP(MONTH(SalesData[[#This Row],[Order Date]])/3,0)</f>
        <v>Q4</v>
      </c>
      <c r="T776">
        <f>YEAR(SalesData[[#This Row],[Order Date]])</f>
        <v>2025</v>
      </c>
      <c r="U776">
        <f>SalesData[[#This Row],[Profit]]/SalesData[[#This Row],[Sales]]</f>
        <v>0.26315789473684209</v>
      </c>
    </row>
    <row r="777" spans="1:21" x14ac:dyDescent="0.25">
      <c r="A777" t="s">
        <v>1028</v>
      </c>
      <c r="B777" s="1">
        <v>45794</v>
      </c>
      <c r="C777" t="s">
        <v>283</v>
      </c>
      <c r="D777" t="s">
        <v>166</v>
      </c>
      <c r="E777" t="s">
        <v>70</v>
      </c>
      <c r="F777" t="s">
        <v>71</v>
      </c>
      <c r="G777" t="s">
        <v>22</v>
      </c>
      <c r="H777" t="s">
        <v>32</v>
      </c>
      <c r="I777" t="s">
        <v>39</v>
      </c>
      <c r="J777">
        <v>4</v>
      </c>
      <c r="K777">
        <v>1500</v>
      </c>
      <c r="L777">
        <v>10</v>
      </c>
      <c r="M777">
        <v>5400</v>
      </c>
      <c r="N777">
        <v>4200</v>
      </c>
      <c r="O777">
        <v>1200</v>
      </c>
      <c r="P777" t="s">
        <v>58</v>
      </c>
      <c r="Q777" t="s">
        <v>33</v>
      </c>
      <c r="R777" t="str">
        <f>TEXT(SalesData[[#This Row],[Order Date]],"mmm")</f>
        <v>May</v>
      </c>
      <c r="S777" s="2" t="str">
        <f>"Q"&amp;ROUNDUP(MONTH(SalesData[[#This Row],[Order Date]])/3,0)</f>
        <v>Q2</v>
      </c>
      <c r="T777">
        <f>YEAR(SalesData[[#This Row],[Order Date]])</f>
        <v>2025</v>
      </c>
      <c r="U777">
        <f>SalesData[[#This Row],[Profit]]/SalesData[[#This Row],[Sales]]</f>
        <v>0.22222222222222221</v>
      </c>
    </row>
    <row r="778" spans="1:21" x14ac:dyDescent="0.25">
      <c r="A778" t="s">
        <v>1029</v>
      </c>
      <c r="B778" s="1">
        <v>45890</v>
      </c>
      <c r="C778" t="s">
        <v>150</v>
      </c>
      <c r="D778" t="s">
        <v>253</v>
      </c>
      <c r="E778" t="s">
        <v>70</v>
      </c>
      <c r="F778" t="s">
        <v>71</v>
      </c>
      <c r="G778" t="s">
        <v>22</v>
      </c>
      <c r="H778" t="s">
        <v>32</v>
      </c>
      <c r="I778" t="s">
        <v>80</v>
      </c>
      <c r="J778">
        <v>1</v>
      </c>
      <c r="K778">
        <v>1500</v>
      </c>
      <c r="L778">
        <v>10</v>
      </c>
      <c r="M778">
        <v>1350</v>
      </c>
      <c r="N778">
        <v>1050</v>
      </c>
      <c r="O778">
        <v>300</v>
      </c>
      <c r="P778" t="s">
        <v>25</v>
      </c>
      <c r="Q778" t="s">
        <v>26</v>
      </c>
      <c r="R778" t="str">
        <f>TEXT(SalesData[[#This Row],[Order Date]],"mmm")</f>
        <v>Aug</v>
      </c>
      <c r="S778" s="2" t="str">
        <f>"Q"&amp;ROUNDUP(MONTH(SalesData[[#This Row],[Order Date]])/3,0)</f>
        <v>Q3</v>
      </c>
      <c r="T778">
        <f>YEAR(SalesData[[#This Row],[Order Date]])</f>
        <v>2025</v>
      </c>
      <c r="U778">
        <f>SalesData[[#This Row],[Profit]]/SalesData[[#This Row],[Sales]]</f>
        <v>0.22222222222222221</v>
      </c>
    </row>
    <row r="779" spans="1:21" x14ac:dyDescent="0.25">
      <c r="A779" t="s">
        <v>1030</v>
      </c>
      <c r="B779" s="1">
        <v>45786</v>
      </c>
      <c r="C779" t="s">
        <v>195</v>
      </c>
      <c r="D779" t="s">
        <v>338</v>
      </c>
      <c r="E779" t="s">
        <v>62</v>
      </c>
      <c r="F779" t="s">
        <v>63</v>
      </c>
      <c r="G779" t="s">
        <v>64</v>
      </c>
      <c r="H779" t="s">
        <v>23</v>
      </c>
      <c r="I779" t="s">
        <v>72</v>
      </c>
      <c r="J779">
        <v>7</v>
      </c>
      <c r="K779">
        <v>8500</v>
      </c>
      <c r="L779">
        <v>10</v>
      </c>
      <c r="M779">
        <v>53550</v>
      </c>
      <c r="N779">
        <v>41650</v>
      </c>
      <c r="O779">
        <v>11900</v>
      </c>
      <c r="P779" t="s">
        <v>25</v>
      </c>
      <c r="Q779" t="s">
        <v>33</v>
      </c>
      <c r="R779" t="str">
        <f>TEXT(SalesData[[#This Row],[Order Date]],"mmm")</f>
        <v>May</v>
      </c>
      <c r="S779" s="2" t="str">
        <f>"Q"&amp;ROUNDUP(MONTH(SalesData[[#This Row],[Order Date]])/3,0)</f>
        <v>Q2</v>
      </c>
      <c r="T779">
        <f>YEAR(SalesData[[#This Row],[Order Date]])</f>
        <v>2025</v>
      </c>
      <c r="U779">
        <f>SalesData[[#This Row],[Profit]]/SalesData[[#This Row],[Sales]]</f>
        <v>0.22222222222222221</v>
      </c>
    </row>
    <row r="780" spans="1:21" x14ac:dyDescent="0.25">
      <c r="A780" t="s">
        <v>1031</v>
      </c>
      <c r="B780" s="1">
        <v>46015</v>
      </c>
      <c r="C780" t="s">
        <v>332</v>
      </c>
      <c r="D780" t="s">
        <v>275</v>
      </c>
      <c r="E780" t="s">
        <v>37</v>
      </c>
      <c r="F780" t="s">
        <v>38</v>
      </c>
      <c r="G780" t="s">
        <v>22</v>
      </c>
      <c r="H780" t="s">
        <v>65</v>
      </c>
      <c r="I780" t="s">
        <v>80</v>
      </c>
      <c r="J780">
        <v>9</v>
      </c>
      <c r="K780">
        <v>55000</v>
      </c>
      <c r="L780">
        <v>0</v>
      </c>
      <c r="M780">
        <v>495000</v>
      </c>
      <c r="N780">
        <v>346500</v>
      </c>
      <c r="O780">
        <v>148500</v>
      </c>
      <c r="P780" t="s">
        <v>25</v>
      </c>
      <c r="Q780" t="s">
        <v>26</v>
      </c>
      <c r="R780" t="str">
        <f>TEXT(SalesData[[#This Row],[Order Date]],"mmm")</f>
        <v>Dec</v>
      </c>
      <c r="S780" s="2" t="str">
        <f>"Q"&amp;ROUNDUP(MONTH(SalesData[[#This Row],[Order Date]])/3,0)</f>
        <v>Q4</v>
      </c>
      <c r="T780">
        <f>YEAR(SalesData[[#This Row],[Order Date]])</f>
        <v>2025</v>
      </c>
      <c r="U780">
        <f>SalesData[[#This Row],[Profit]]/SalesData[[#This Row],[Sales]]</f>
        <v>0.3</v>
      </c>
    </row>
    <row r="781" spans="1:21" x14ac:dyDescent="0.25">
      <c r="A781" t="s">
        <v>1032</v>
      </c>
      <c r="B781" s="1">
        <v>45802</v>
      </c>
      <c r="C781" t="s">
        <v>150</v>
      </c>
      <c r="D781" t="s">
        <v>670</v>
      </c>
      <c r="E781" t="s">
        <v>93</v>
      </c>
      <c r="F781" t="s">
        <v>94</v>
      </c>
      <c r="G781" t="s">
        <v>64</v>
      </c>
      <c r="H781" t="s">
        <v>46</v>
      </c>
      <c r="I781" t="s">
        <v>24</v>
      </c>
      <c r="J781">
        <v>5</v>
      </c>
      <c r="K781">
        <v>4500</v>
      </c>
      <c r="L781">
        <v>15</v>
      </c>
      <c r="M781">
        <v>19125</v>
      </c>
      <c r="N781">
        <v>15750</v>
      </c>
      <c r="O781">
        <v>3375.0000000000018</v>
      </c>
      <c r="P781" t="s">
        <v>25</v>
      </c>
      <c r="Q781" t="s">
        <v>76</v>
      </c>
      <c r="R781" t="str">
        <f>TEXT(SalesData[[#This Row],[Order Date]],"mmm")</f>
        <v>May</v>
      </c>
      <c r="S781" s="2" t="str">
        <f>"Q"&amp;ROUNDUP(MONTH(SalesData[[#This Row],[Order Date]])/3,0)</f>
        <v>Q2</v>
      </c>
      <c r="T781">
        <f>YEAR(SalesData[[#This Row],[Order Date]])</f>
        <v>2025</v>
      </c>
      <c r="U781">
        <f>SalesData[[#This Row],[Profit]]/SalesData[[#This Row],[Sales]]</f>
        <v>0.17647058823529421</v>
      </c>
    </row>
    <row r="782" spans="1:21" x14ac:dyDescent="0.25">
      <c r="A782" t="s">
        <v>1033</v>
      </c>
      <c r="B782" s="1">
        <v>46012</v>
      </c>
      <c r="C782" t="s">
        <v>152</v>
      </c>
      <c r="D782" t="s">
        <v>29</v>
      </c>
      <c r="E782" t="s">
        <v>30</v>
      </c>
      <c r="F782" t="s">
        <v>31</v>
      </c>
      <c r="G782" t="s">
        <v>22</v>
      </c>
      <c r="H782" t="s">
        <v>46</v>
      </c>
      <c r="I782" t="s">
        <v>80</v>
      </c>
      <c r="J782">
        <v>6</v>
      </c>
      <c r="K782">
        <v>800</v>
      </c>
      <c r="L782">
        <v>10</v>
      </c>
      <c r="M782">
        <v>4320</v>
      </c>
      <c r="N782">
        <v>3360</v>
      </c>
      <c r="O782">
        <v>960</v>
      </c>
      <c r="P782" t="s">
        <v>25</v>
      </c>
      <c r="Q782" t="s">
        <v>33</v>
      </c>
      <c r="R782" t="str">
        <f>TEXT(SalesData[[#This Row],[Order Date]],"mmm")</f>
        <v>Dec</v>
      </c>
      <c r="S782" s="2" t="str">
        <f>"Q"&amp;ROUNDUP(MONTH(SalesData[[#This Row],[Order Date]])/3,0)</f>
        <v>Q4</v>
      </c>
      <c r="T782">
        <f>YEAR(SalesData[[#This Row],[Order Date]])</f>
        <v>2025</v>
      </c>
      <c r="U782">
        <f>SalesData[[#This Row],[Profit]]/SalesData[[#This Row],[Sales]]</f>
        <v>0.22222222222222221</v>
      </c>
    </row>
    <row r="783" spans="1:21" x14ac:dyDescent="0.25">
      <c r="A783" t="s">
        <v>1034</v>
      </c>
      <c r="B783" s="1">
        <v>45801</v>
      </c>
      <c r="C783" t="s">
        <v>268</v>
      </c>
      <c r="D783" t="s">
        <v>79</v>
      </c>
      <c r="E783" t="s">
        <v>37</v>
      </c>
      <c r="F783" t="s">
        <v>38</v>
      </c>
      <c r="G783" t="s">
        <v>22</v>
      </c>
      <c r="H783" t="s">
        <v>32</v>
      </c>
      <c r="I783" t="s">
        <v>53</v>
      </c>
      <c r="J783">
        <v>4</v>
      </c>
      <c r="K783">
        <v>55000</v>
      </c>
      <c r="L783">
        <v>0</v>
      </c>
      <c r="M783">
        <v>220000</v>
      </c>
      <c r="N783">
        <v>154000</v>
      </c>
      <c r="O783">
        <v>66000</v>
      </c>
      <c r="P783" t="s">
        <v>25</v>
      </c>
      <c r="Q783" t="s">
        <v>26</v>
      </c>
      <c r="R783" t="str">
        <f>TEXT(SalesData[[#This Row],[Order Date]],"mmm")</f>
        <v>May</v>
      </c>
      <c r="S783" s="2" t="str">
        <f>"Q"&amp;ROUNDUP(MONTH(SalesData[[#This Row],[Order Date]])/3,0)</f>
        <v>Q2</v>
      </c>
      <c r="T783">
        <f>YEAR(SalesData[[#This Row],[Order Date]])</f>
        <v>2025</v>
      </c>
      <c r="U783">
        <f>SalesData[[#This Row],[Profit]]/SalesData[[#This Row],[Sales]]</f>
        <v>0.3</v>
      </c>
    </row>
    <row r="784" spans="1:21" x14ac:dyDescent="0.25">
      <c r="A784" t="s">
        <v>1035</v>
      </c>
      <c r="B784" s="1">
        <v>45688</v>
      </c>
      <c r="C784" t="s">
        <v>613</v>
      </c>
      <c r="D784" t="s">
        <v>285</v>
      </c>
      <c r="E784" t="s">
        <v>62</v>
      </c>
      <c r="F784" t="s">
        <v>63</v>
      </c>
      <c r="G784" t="s">
        <v>64</v>
      </c>
      <c r="H784" t="s">
        <v>23</v>
      </c>
      <c r="I784" t="s">
        <v>39</v>
      </c>
      <c r="J784">
        <v>3</v>
      </c>
      <c r="K784">
        <v>8500</v>
      </c>
      <c r="L784">
        <v>20</v>
      </c>
      <c r="M784">
        <v>20400</v>
      </c>
      <c r="N784">
        <v>17850</v>
      </c>
      <c r="O784">
        <v>2550</v>
      </c>
      <c r="P784" t="s">
        <v>58</v>
      </c>
      <c r="Q784" t="s">
        <v>33</v>
      </c>
      <c r="R784" t="str">
        <f>TEXT(SalesData[[#This Row],[Order Date]],"mmm")</f>
        <v>Jan</v>
      </c>
      <c r="S784" s="2" t="str">
        <f>"Q"&amp;ROUNDUP(MONTH(SalesData[[#This Row],[Order Date]])/3,0)</f>
        <v>Q1</v>
      </c>
      <c r="T784">
        <f>YEAR(SalesData[[#This Row],[Order Date]])</f>
        <v>2025</v>
      </c>
      <c r="U784">
        <f>SalesData[[#This Row],[Profit]]/SalesData[[#This Row],[Sales]]</f>
        <v>0.125</v>
      </c>
    </row>
    <row r="785" spans="1:21" x14ac:dyDescent="0.25">
      <c r="A785" t="s">
        <v>1036</v>
      </c>
      <c r="B785" s="1">
        <v>45724</v>
      </c>
      <c r="C785" t="s">
        <v>74</v>
      </c>
      <c r="D785" t="s">
        <v>420</v>
      </c>
      <c r="E785" t="s">
        <v>93</v>
      </c>
      <c r="F785" t="s">
        <v>94</v>
      </c>
      <c r="G785" t="s">
        <v>64</v>
      </c>
      <c r="H785" t="s">
        <v>23</v>
      </c>
      <c r="I785" t="s">
        <v>24</v>
      </c>
      <c r="J785">
        <v>6</v>
      </c>
      <c r="K785">
        <v>4500</v>
      </c>
      <c r="L785">
        <v>15</v>
      </c>
      <c r="M785">
        <v>22950</v>
      </c>
      <c r="N785">
        <v>18900</v>
      </c>
      <c r="O785">
        <v>4050</v>
      </c>
      <c r="P785" t="s">
        <v>58</v>
      </c>
      <c r="Q785" t="s">
        <v>33</v>
      </c>
      <c r="R785" t="str">
        <f>TEXT(SalesData[[#This Row],[Order Date]],"mmm")</f>
        <v>Mar</v>
      </c>
      <c r="S785" s="2" t="str">
        <f>"Q"&amp;ROUNDUP(MONTH(SalesData[[#This Row],[Order Date]])/3,0)</f>
        <v>Q1</v>
      </c>
      <c r="T785">
        <f>YEAR(SalesData[[#This Row],[Order Date]])</f>
        <v>2025</v>
      </c>
      <c r="U785">
        <f>SalesData[[#This Row],[Profit]]/SalesData[[#This Row],[Sales]]</f>
        <v>0.17647058823529413</v>
      </c>
    </row>
    <row r="786" spans="1:21" x14ac:dyDescent="0.25">
      <c r="A786" t="s">
        <v>1037</v>
      </c>
      <c r="B786" s="1">
        <v>45700</v>
      </c>
      <c r="C786" t="s">
        <v>42</v>
      </c>
      <c r="D786" t="s">
        <v>209</v>
      </c>
      <c r="E786" t="s">
        <v>70</v>
      </c>
      <c r="F786" t="s">
        <v>71</v>
      </c>
      <c r="G786" t="s">
        <v>22</v>
      </c>
      <c r="H786" t="s">
        <v>23</v>
      </c>
      <c r="I786" t="s">
        <v>53</v>
      </c>
      <c r="J786">
        <v>9</v>
      </c>
      <c r="K786">
        <v>1500</v>
      </c>
      <c r="L786">
        <v>10</v>
      </c>
      <c r="M786">
        <v>12150</v>
      </c>
      <c r="N786">
        <v>9450</v>
      </c>
      <c r="O786">
        <v>2700</v>
      </c>
      <c r="P786" t="s">
        <v>54</v>
      </c>
      <c r="Q786" t="s">
        <v>33</v>
      </c>
      <c r="R786" t="str">
        <f>TEXT(SalesData[[#This Row],[Order Date]],"mmm")</f>
        <v>Feb</v>
      </c>
      <c r="S786" s="2" t="str">
        <f>"Q"&amp;ROUNDUP(MONTH(SalesData[[#This Row],[Order Date]])/3,0)</f>
        <v>Q1</v>
      </c>
      <c r="T786">
        <f>YEAR(SalesData[[#This Row],[Order Date]])</f>
        <v>2025</v>
      </c>
      <c r="U786">
        <f>SalesData[[#This Row],[Profit]]/SalesData[[#This Row],[Sales]]</f>
        <v>0.22222222222222221</v>
      </c>
    </row>
    <row r="787" spans="1:21" x14ac:dyDescent="0.25">
      <c r="A787" t="s">
        <v>1038</v>
      </c>
      <c r="B787" s="1">
        <v>45942</v>
      </c>
      <c r="C787" t="s">
        <v>147</v>
      </c>
      <c r="D787" t="s">
        <v>355</v>
      </c>
      <c r="E787" t="s">
        <v>70</v>
      </c>
      <c r="F787" t="s">
        <v>71</v>
      </c>
      <c r="G787" t="s">
        <v>22</v>
      </c>
      <c r="H787" t="s">
        <v>46</v>
      </c>
      <c r="I787" t="s">
        <v>80</v>
      </c>
      <c r="J787">
        <v>10</v>
      </c>
      <c r="K787">
        <v>1500</v>
      </c>
      <c r="L787">
        <v>20</v>
      </c>
      <c r="M787">
        <v>12000</v>
      </c>
      <c r="N787">
        <v>10500</v>
      </c>
      <c r="O787">
        <v>1500</v>
      </c>
      <c r="P787" t="s">
        <v>54</v>
      </c>
      <c r="Q787" t="s">
        <v>33</v>
      </c>
      <c r="R787" t="str">
        <f>TEXT(SalesData[[#This Row],[Order Date]],"mmm")</f>
        <v>Oct</v>
      </c>
      <c r="S787" s="2" t="str">
        <f>"Q"&amp;ROUNDUP(MONTH(SalesData[[#This Row],[Order Date]])/3,0)</f>
        <v>Q4</v>
      </c>
      <c r="T787">
        <f>YEAR(SalesData[[#This Row],[Order Date]])</f>
        <v>2025</v>
      </c>
      <c r="U787">
        <f>SalesData[[#This Row],[Profit]]/SalesData[[#This Row],[Sales]]</f>
        <v>0.125</v>
      </c>
    </row>
    <row r="788" spans="1:21" x14ac:dyDescent="0.25">
      <c r="A788" t="s">
        <v>1039</v>
      </c>
      <c r="B788" s="1">
        <v>45908</v>
      </c>
      <c r="C788" t="s">
        <v>138</v>
      </c>
      <c r="D788" t="s">
        <v>394</v>
      </c>
      <c r="E788" t="s">
        <v>20</v>
      </c>
      <c r="F788" t="s">
        <v>21</v>
      </c>
      <c r="G788" t="s">
        <v>22</v>
      </c>
      <c r="H788" t="s">
        <v>32</v>
      </c>
      <c r="I788" t="s">
        <v>66</v>
      </c>
      <c r="J788">
        <v>9</v>
      </c>
      <c r="K788">
        <v>3500</v>
      </c>
      <c r="L788">
        <v>5</v>
      </c>
      <c r="M788">
        <v>29925</v>
      </c>
      <c r="N788">
        <v>22050</v>
      </c>
      <c r="O788">
        <v>7875</v>
      </c>
      <c r="P788" t="s">
        <v>40</v>
      </c>
      <c r="Q788" t="s">
        <v>33</v>
      </c>
      <c r="R788" t="str">
        <f>TEXT(SalesData[[#This Row],[Order Date]],"mmm")</f>
        <v>Sep</v>
      </c>
      <c r="S788" s="2" t="str">
        <f>"Q"&amp;ROUNDUP(MONTH(SalesData[[#This Row],[Order Date]])/3,0)</f>
        <v>Q3</v>
      </c>
      <c r="T788">
        <f>YEAR(SalesData[[#This Row],[Order Date]])</f>
        <v>2025</v>
      </c>
      <c r="U788">
        <f>SalesData[[#This Row],[Profit]]/SalesData[[#This Row],[Sales]]</f>
        <v>0.26315789473684209</v>
      </c>
    </row>
    <row r="789" spans="1:21" x14ac:dyDescent="0.25">
      <c r="A789" t="s">
        <v>1040</v>
      </c>
      <c r="B789" s="1">
        <v>45911</v>
      </c>
      <c r="C789" t="s">
        <v>42</v>
      </c>
      <c r="D789" t="s">
        <v>183</v>
      </c>
      <c r="E789" t="s">
        <v>44</v>
      </c>
      <c r="F789" t="s">
        <v>45</v>
      </c>
      <c r="G789" t="s">
        <v>22</v>
      </c>
      <c r="H789" t="s">
        <v>65</v>
      </c>
      <c r="I789" t="s">
        <v>72</v>
      </c>
      <c r="J789">
        <v>4</v>
      </c>
      <c r="K789">
        <v>9500</v>
      </c>
      <c r="L789">
        <v>5</v>
      </c>
      <c r="M789">
        <v>36100</v>
      </c>
      <c r="N789">
        <v>26600</v>
      </c>
      <c r="O789">
        <v>9500</v>
      </c>
      <c r="P789" t="s">
        <v>58</v>
      </c>
      <c r="Q789" t="s">
        <v>33</v>
      </c>
      <c r="R789" t="str">
        <f>TEXT(SalesData[[#This Row],[Order Date]],"mmm")</f>
        <v>Sep</v>
      </c>
      <c r="S789" s="2" t="str">
        <f>"Q"&amp;ROUNDUP(MONTH(SalesData[[#This Row],[Order Date]])/3,0)</f>
        <v>Q3</v>
      </c>
      <c r="T789">
        <f>YEAR(SalesData[[#This Row],[Order Date]])</f>
        <v>2025</v>
      </c>
      <c r="U789">
        <f>SalesData[[#This Row],[Profit]]/SalesData[[#This Row],[Sales]]</f>
        <v>0.26315789473684209</v>
      </c>
    </row>
    <row r="790" spans="1:21" x14ac:dyDescent="0.25">
      <c r="A790" t="s">
        <v>1041</v>
      </c>
      <c r="B790" s="1">
        <v>45760</v>
      </c>
      <c r="C790" t="s">
        <v>469</v>
      </c>
      <c r="D790" t="s">
        <v>256</v>
      </c>
      <c r="E790" t="s">
        <v>50</v>
      </c>
      <c r="F790" t="s">
        <v>51</v>
      </c>
      <c r="G790" t="s">
        <v>52</v>
      </c>
      <c r="H790" t="s">
        <v>46</v>
      </c>
      <c r="I790" t="s">
        <v>24</v>
      </c>
      <c r="J790">
        <v>7</v>
      </c>
      <c r="K790">
        <v>3200</v>
      </c>
      <c r="L790">
        <v>5</v>
      </c>
      <c r="M790">
        <v>21280</v>
      </c>
      <c r="N790">
        <v>15680</v>
      </c>
      <c r="O790">
        <v>5600.0000000000018</v>
      </c>
      <c r="P790" t="s">
        <v>40</v>
      </c>
      <c r="Q790" t="s">
        <v>33</v>
      </c>
      <c r="R790" t="str">
        <f>TEXT(SalesData[[#This Row],[Order Date]],"mmm")</f>
        <v>Apr</v>
      </c>
      <c r="S790" s="2" t="str">
        <f>"Q"&amp;ROUNDUP(MONTH(SalesData[[#This Row],[Order Date]])/3,0)</f>
        <v>Q2</v>
      </c>
      <c r="T790">
        <f>YEAR(SalesData[[#This Row],[Order Date]])</f>
        <v>2025</v>
      </c>
      <c r="U790">
        <f>SalesData[[#This Row],[Profit]]/SalesData[[#This Row],[Sales]]</f>
        <v>0.2631578947368422</v>
      </c>
    </row>
    <row r="791" spans="1:21" x14ac:dyDescent="0.25">
      <c r="A791" t="s">
        <v>1042</v>
      </c>
      <c r="B791" s="1">
        <v>45889</v>
      </c>
      <c r="C791" t="s">
        <v>107</v>
      </c>
      <c r="D791" t="s">
        <v>230</v>
      </c>
      <c r="E791" t="s">
        <v>30</v>
      </c>
      <c r="F791" t="s">
        <v>31</v>
      </c>
      <c r="G791" t="s">
        <v>22</v>
      </c>
      <c r="H791" t="s">
        <v>23</v>
      </c>
      <c r="I791" t="s">
        <v>72</v>
      </c>
      <c r="J791">
        <v>2</v>
      </c>
      <c r="K791">
        <v>800</v>
      </c>
      <c r="L791">
        <v>0</v>
      </c>
      <c r="M791">
        <v>1600</v>
      </c>
      <c r="N791">
        <v>1120</v>
      </c>
      <c r="O791">
        <v>480</v>
      </c>
      <c r="P791" t="s">
        <v>58</v>
      </c>
      <c r="Q791" t="s">
        <v>26</v>
      </c>
      <c r="R791" t="str">
        <f>TEXT(SalesData[[#This Row],[Order Date]],"mmm")</f>
        <v>Aug</v>
      </c>
      <c r="S791" s="2" t="str">
        <f>"Q"&amp;ROUNDUP(MONTH(SalesData[[#This Row],[Order Date]])/3,0)</f>
        <v>Q3</v>
      </c>
      <c r="T791">
        <f>YEAR(SalesData[[#This Row],[Order Date]])</f>
        <v>2025</v>
      </c>
      <c r="U791">
        <f>SalesData[[#This Row],[Profit]]/SalesData[[#This Row],[Sales]]</f>
        <v>0.3</v>
      </c>
    </row>
    <row r="792" spans="1:21" x14ac:dyDescent="0.25">
      <c r="A792" t="s">
        <v>1043</v>
      </c>
      <c r="B792" s="1">
        <v>45918</v>
      </c>
      <c r="C792" t="s">
        <v>35</v>
      </c>
      <c r="D792" t="s">
        <v>499</v>
      </c>
      <c r="E792" t="s">
        <v>93</v>
      </c>
      <c r="F792" t="s">
        <v>94</v>
      </c>
      <c r="G792" t="s">
        <v>64</v>
      </c>
      <c r="H792" t="s">
        <v>65</v>
      </c>
      <c r="I792" t="s">
        <v>24</v>
      </c>
      <c r="J792">
        <v>2</v>
      </c>
      <c r="K792">
        <v>4500</v>
      </c>
      <c r="L792">
        <v>20</v>
      </c>
      <c r="M792">
        <v>7200</v>
      </c>
      <c r="N792">
        <v>6300</v>
      </c>
      <c r="O792">
        <v>900</v>
      </c>
      <c r="P792" t="s">
        <v>25</v>
      </c>
      <c r="Q792" t="s">
        <v>33</v>
      </c>
      <c r="R792" t="str">
        <f>TEXT(SalesData[[#This Row],[Order Date]],"mmm")</f>
        <v>Sep</v>
      </c>
      <c r="S792" s="2" t="str">
        <f>"Q"&amp;ROUNDUP(MONTH(SalesData[[#This Row],[Order Date]])/3,0)</f>
        <v>Q3</v>
      </c>
      <c r="T792">
        <f>YEAR(SalesData[[#This Row],[Order Date]])</f>
        <v>2025</v>
      </c>
      <c r="U792">
        <f>SalesData[[#This Row],[Profit]]/SalesData[[#This Row],[Sales]]</f>
        <v>0.125</v>
      </c>
    </row>
    <row r="793" spans="1:21" x14ac:dyDescent="0.25">
      <c r="A793" t="s">
        <v>1044</v>
      </c>
      <c r="B793" s="1">
        <v>45758</v>
      </c>
      <c r="C793" t="s">
        <v>273</v>
      </c>
      <c r="D793" t="s">
        <v>116</v>
      </c>
      <c r="E793" t="s">
        <v>37</v>
      </c>
      <c r="F793" t="s">
        <v>38</v>
      </c>
      <c r="G793" t="s">
        <v>22</v>
      </c>
      <c r="H793" t="s">
        <v>65</v>
      </c>
      <c r="I793" t="s">
        <v>39</v>
      </c>
      <c r="J793">
        <v>2</v>
      </c>
      <c r="K793">
        <v>55000</v>
      </c>
      <c r="L793">
        <v>10</v>
      </c>
      <c r="M793">
        <v>99000</v>
      </c>
      <c r="N793">
        <v>77000</v>
      </c>
      <c r="O793">
        <v>22000</v>
      </c>
      <c r="P793" t="s">
        <v>25</v>
      </c>
      <c r="Q793" t="s">
        <v>76</v>
      </c>
      <c r="R793" t="str">
        <f>TEXT(SalesData[[#This Row],[Order Date]],"mmm")</f>
        <v>Apr</v>
      </c>
      <c r="S793" s="2" t="str">
        <f>"Q"&amp;ROUNDUP(MONTH(SalesData[[#This Row],[Order Date]])/3,0)</f>
        <v>Q2</v>
      </c>
      <c r="T793">
        <f>YEAR(SalesData[[#This Row],[Order Date]])</f>
        <v>2025</v>
      </c>
      <c r="U793">
        <f>SalesData[[#This Row],[Profit]]/SalesData[[#This Row],[Sales]]</f>
        <v>0.22222222222222221</v>
      </c>
    </row>
    <row r="794" spans="1:21" x14ac:dyDescent="0.25">
      <c r="A794" t="s">
        <v>1045</v>
      </c>
      <c r="B794" s="1">
        <v>45838</v>
      </c>
      <c r="C794" t="s">
        <v>125</v>
      </c>
      <c r="D794" t="s">
        <v>350</v>
      </c>
      <c r="E794" t="s">
        <v>20</v>
      </c>
      <c r="F794" t="s">
        <v>21</v>
      </c>
      <c r="G794" t="s">
        <v>22</v>
      </c>
      <c r="H794" t="s">
        <v>46</v>
      </c>
      <c r="I794" t="s">
        <v>80</v>
      </c>
      <c r="J794">
        <v>2</v>
      </c>
      <c r="K794">
        <v>3500</v>
      </c>
      <c r="L794">
        <v>5</v>
      </c>
      <c r="M794">
        <v>6650</v>
      </c>
      <c r="N794">
        <v>4900</v>
      </c>
      <c r="O794">
        <v>1750</v>
      </c>
      <c r="P794" t="s">
        <v>25</v>
      </c>
      <c r="Q794" t="s">
        <v>26</v>
      </c>
      <c r="R794" t="str">
        <f>TEXT(SalesData[[#This Row],[Order Date]],"mmm")</f>
        <v>Jun</v>
      </c>
      <c r="S794" s="2" t="str">
        <f>"Q"&amp;ROUNDUP(MONTH(SalesData[[#This Row],[Order Date]])/3,0)</f>
        <v>Q2</v>
      </c>
      <c r="T794">
        <f>YEAR(SalesData[[#This Row],[Order Date]])</f>
        <v>2025</v>
      </c>
      <c r="U794">
        <f>SalesData[[#This Row],[Profit]]/SalesData[[#This Row],[Sales]]</f>
        <v>0.26315789473684209</v>
      </c>
    </row>
    <row r="795" spans="1:21" x14ac:dyDescent="0.25">
      <c r="A795" t="s">
        <v>1046</v>
      </c>
      <c r="B795" s="1">
        <v>45781</v>
      </c>
      <c r="C795" t="s">
        <v>163</v>
      </c>
      <c r="D795" t="s">
        <v>256</v>
      </c>
      <c r="E795" t="s">
        <v>62</v>
      </c>
      <c r="F795" t="s">
        <v>63</v>
      </c>
      <c r="G795" t="s">
        <v>64</v>
      </c>
      <c r="H795" t="s">
        <v>23</v>
      </c>
      <c r="I795" t="s">
        <v>72</v>
      </c>
      <c r="J795">
        <v>2</v>
      </c>
      <c r="K795">
        <v>8500</v>
      </c>
      <c r="L795">
        <v>5</v>
      </c>
      <c r="M795">
        <v>16150</v>
      </c>
      <c r="N795">
        <v>11900</v>
      </c>
      <c r="O795">
        <v>4250</v>
      </c>
      <c r="P795" t="s">
        <v>40</v>
      </c>
      <c r="Q795" t="s">
        <v>33</v>
      </c>
      <c r="R795" t="str">
        <f>TEXT(SalesData[[#This Row],[Order Date]],"mmm")</f>
        <v>May</v>
      </c>
      <c r="S795" s="2" t="str">
        <f>"Q"&amp;ROUNDUP(MONTH(SalesData[[#This Row],[Order Date]])/3,0)</f>
        <v>Q2</v>
      </c>
      <c r="T795">
        <f>YEAR(SalesData[[#This Row],[Order Date]])</f>
        <v>2025</v>
      </c>
      <c r="U795">
        <f>SalesData[[#This Row],[Profit]]/SalesData[[#This Row],[Sales]]</f>
        <v>0.26315789473684209</v>
      </c>
    </row>
    <row r="796" spans="1:21" x14ac:dyDescent="0.25">
      <c r="A796" t="s">
        <v>1047</v>
      </c>
      <c r="B796" s="1">
        <v>45822</v>
      </c>
      <c r="C796" t="s">
        <v>418</v>
      </c>
      <c r="D796" t="s">
        <v>83</v>
      </c>
      <c r="E796" t="s">
        <v>20</v>
      </c>
      <c r="F796" t="s">
        <v>21</v>
      </c>
      <c r="G796" t="s">
        <v>22</v>
      </c>
      <c r="H796" t="s">
        <v>46</v>
      </c>
      <c r="I796" t="s">
        <v>53</v>
      </c>
      <c r="J796">
        <v>5</v>
      </c>
      <c r="K796">
        <v>3500</v>
      </c>
      <c r="L796">
        <v>5</v>
      </c>
      <c r="M796">
        <v>16625</v>
      </c>
      <c r="N796">
        <v>12250</v>
      </c>
      <c r="O796">
        <v>4375</v>
      </c>
      <c r="P796" t="s">
        <v>40</v>
      </c>
      <c r="Q796" t="s">
        <v>26</v>
      </c>
      <c r="R796" t="str">
        <f>TEXT(SalesData[[#This Row],[Order Date]],"mmm")</f>
        <v>Jun</v>
      </c>
      <c r="S796" s="2" t="str">
        <f>"Q"&amp;ROUNDUP(MONTH(SalesData[[#This Row],[Order Date]])/3,0)</f>
        <v>Q2</v>
      </c>
      <c r="T796">
        <f>YEAR(SalesData[[#This Row],[Order Date]])</f>
        <v>2025</v>
      </c>
      <c r="U796">
        <f>SalesData[[#This Row],[Profit]]/SalesData[[#This Row],[Sales]]</f>
        <v>0.26315789473684209</v>
      </c>
    </row>
    <row r="797" spans="1:21" x14ac:dyDescent="0.25">
      <c r="A797" t="s">
        <v>1048</v>
      </c>
      <c r="B797" s="1">
        <v>46020</v>
      </c>
      <c r="C797" t="s">
        <v>221</v>
      </c>
      <c r="D797" t="s">
        <v>183</v>
      </c>
      <c r="E797" t="s">
        <v>70</v>
      </c>
      <c r="F797" t="s">
        <v>71</v>
      </c>
      <c r="G797" t="s">
        <v>22</v>
      </c>
      <c r="H797" t="s">
        <v>32</v>
      </c>
      <c r="I797" t="s">
        <v>39</v>
      </c>
      <c r="J797">
        <v>8</v>
      </c>
      <c r="K797">
        <v>1500</v>
      </c>
      <c r="L797">
        <v>20</v>
      </c>
      <c r="M797">
        <v>9600</v>
      </c>
      <c r="N797">
        <v>8400</v>
      </c>
      <c r="O797">
        <v>1200</v>
      </c>
      <c r="P797" t="s">
        <v>58</v>
      </c>
      <c r="Q797" t="s">
        <v>26</v>
      </c>
      <c r="R797" t="str">
        <f>TEXT(SalesData[[#This Row],[Order Date]],"mmm")</f>
        <v>Dec</v>
      </c>
      <c r="S797" s="2" t="str">
        <f>"Q"&amp;ROUNDUP(MONTH(SalesData[[#This Row],[Order Date]])/3,0)</f>
        <v>Q4</v>
      </c>
      <c r="T797">
        <f>YEAR(SalesData[[#This Row],[Order Date]])</f>
        <v>2025</v>
      </c>
      <c r="U797">
        <f>SalesData[[#This Row],[Profit]]/SalesData[[#This Row],[Sales]]</f>
        <v>0.125</v>
      </c>
    </row>
    <row r="798" spans="1:21" x14ac:dyDescent="0.25">
      <c r="A798" t="s">
        <v>1049</v>
      </c>
      <c r="B798" s="1">
        <v>45955</v>
      </c>
      <c r="C798" t="s">
        <v>102</v>
      </c>
      <c r="D798" t="s">
        <v>57</v>
      </c>
      <c r="E798" t="s">
        <v>70</v>
      </c>
      <c r="F798" t="s">
        <v>71</v>
      </c>
      <c r="G798" t="s">
        <v>22</v>
      </c>
      <c r="H798" t="s">
        <v>65</v>
      </c>
      <c r="I798" t="s">
        <v>66</v>
      </c>
      <c r="J798">
        <v>1</v>
      </c>
      <c r="K798">
        <v>1500</v>
      </c>
      <c r="L798">
        <v>10</v>
      </c>
      <c r="M798">
        <v>1350</v>
      </c>
      <c r="N798">
        <v>1050</v>
      </c>
      <c r="O798">
        <v>300</v>
      </c>
      <c r="P798" t="s">
        <v>40</v>
      </c>
      <c r="Q798" t="s">
        <v>33</v>
      </c>
      <c r="R798" t="str">
        <f>TEXT(SalesData[[#This Row],[Order Date]],"mmm")</f>
        <v>Oct</v>
      </c>
      <c r="S798" s="2" t="str">
        <f>"Q"&amp;ROUNDUP(MONTH(SalesData[[#This Row],[Order Date]])/3,0)</f>
        <v>Q4</v>
      </c>
      <c r="T798">
        <f>YEAR(SalesData[[#This Row],[Order Date]])</f>
        <v>2025</v>
      </c>
      <c r="U798">
        <f>SalesData[[#This Row],[Profit]]/SalesData[[#This Row],[Sales]]</f>
        <v>0.22222222222222221</v>
      </c>
    </row>
    <row r="799" spans="1:21" x14ac:dyDescent="0.25">
      <c r="A799" t="s">
        <v>1050</v>
      </c>
      <c r="B799" s="1">
        <v>45717</v>
      </c>
      <c r="C799" t="s">
        <v>466</v>
      </c>
      <c r="D799" t="s">
        <v>238</v>
      </c>
      <c r="E799" t="s">
        <v>44</v>
      </c>
      <c r="F799" t="s">
        <v>45</v>
      </c>
      <c r="G799" t="s">
        <v>22</v>
      </c>
      <c r="H799" t="s">
        <v>65</v>
      </c>
      <c r="I799" t="s">
        <v>53</v>
      </c>
      <c r="J799">
        <v>9</v>
      </c>
      <c r="K799">
        <v>9500</v>
      </c>
      <c r="L799">
        <v>15</v>
      </c>
      <c r="M799">
        <v>72675</v>
      </c>
      <c r="N799">
        <v>59849.999999999993</v>
      </c>
      <c r="O799">
        <v>12825.000000000009</v>
      </c>
      <c r="P799" t="s">
        <v>40</v>
      </c>
      <c r="Q799" t="s">
        <v>33</v>
      </c>
      <c r="R799" t="str">
        <f>TEXT(SalesData[[#This Row],[Order Date]],"mmm")</f>
        <v>Mar</v>
      </c>
      <c r="S799" s="2" t="str">
        <f>"Q"&amp;ROUNDUP(MONTH(SalesData[[#This Row],[Order Date]])/3,0)</f>
        <v>Q1</v>
      </c>
      <c r="T799">
        <f>YEAR(SalesData[[#This Row],[Order Date]])</f>
        <v>2025</v>
      </c>
      <c r="U799">
        <f>SalesData[[#This Row],[Profit]]/SalesData[[#This Row],[Sales]]</f>
        <v>0.17647058823529424</v>
      </c>
    </row>
    <row r="800" spans="1:21" x14ac:dyDescent="0.25">
      <c r="A800" t="s">
        <v>1051</v>
      </c>
      <c r="B800" s="1">
        <v>45717</v>
      </c>
      <c r="C800" t="s">
        <v>82</v>
      </c>
      <c r="D800" t="s">
        <v>420</v>
      </c>
      <c r="E800" t="s">
        <v>93</v>
      </c>
      <c r="F800" t="s">
        <v>94</v>
      </c>
      <c r="G800" t="s">
        <v>64</v>
      </c>
      <c r="H800" t="s">
        <v>32</v>
      </c>
      <c r="I800" t="s">
        <v>72</v>
      </c>
      <c r="J800">
        <v>2</v>
      </c>
      <c r="K800">
        <v>4500</v>
      </c>
      <c r="L800">
        <v>15</v>
      </c>
      <c r="M800">
        <v>7650</v>
      </c>
      <c r="N800">
        <v>6300</v>
      </c>
      <c r="O800">
        <v>1350</v>
      </c>
      <c r="P800" t="s">
        <v>25</v>
      </c>
      <c r="Q800" t="s">
        <v>26</v>
      </c>
      <c r="R800" t="str">
        <f>TEXT(SalesData[[#This Row],[Order Date]],"mmm")</f>
        <v>Mar</v>
      </c>
      <c r="S800" s="2" t="str">
        <f>"Q"&amp;ROUNDUP(MONTH(SalesData[[#This Row],[Order Date]])/3,0)</f>
        <v>Q1</v>
      </c>
      <c r="T800">
        <f>YEAR(SalesData[[#This Row],[Order Date]])</f>
        <v>2025</v>
      </c>
      <c r="U800">
        <f>SalesData[[#This Row],[Profit]]/SalesData[[#This Row],[Sales]]</f>
        <v>0.17647058823529413</v>
      </c>
    </row>
    <row r="801" spans="1:21" x14ac:dyDescent="0.25">
      <c r="A801" t="s">
        <v>1052</v>
      </c>
      <c r="B801" s="1">
        <v>45810</v>
      </c>
      <c r="C801" t="s">
        <v>155</v>
      </c>
      <c r="D801" t="s">
        <v>199</v>
      </c>
      <c r="E801" t="s">
        <v>44</v>
      </c>
      <c r="F801" t="s">
        <v>45</v>
      </c>
      <c r="G801" t="s">
        <v>22</v>
      </c>
      <c r="H801" t="s">
        <v>23</v>
      </c>
      <c r="I801" t="s">
        <v>80</v>
      </c>
      <c r="J801">
        <v>1</v>
      </c>
      <c r="K801">
        <v>9500</v>
      </c>
      <c r="L801">
        <v>5</v>
      </c>
      <c r="M801">
        <v>9025</v>
      </c>
      <c r="N801">
        <v>6650</v>
      </c>
      <c r="O801">
        <v>2375</v>
      </c>
      <c r="P801" t="s">
        <v>40</v>
      </c>
      <c r="Q801" t="s">
        <v>33</v>
      </c>
      <c r="R801" t="str">
        <f>TEXT(SalesData[[#This Row],[Order Date]],"mmm")</f>
        <v>Jun</v>
      </c>
      <c r="S801" s="2" t="str">
        <f>"Q"&amp;ROUNDUP(MONTH(SalesData[[#This Row],[Order Date]])/3,0)</f>
        <v>Q2</v>
      </c>
      <c r="T801">
        <f>YEAR(SalesData[[#This Row],[Order Date]])</f>
        <v>2025</v>
      </c>
      <c r="U801">
        <f>SalesData[[#This Row],[Profit]]/SalesData[[#This Row],[Sales]]</f>
        <v>0.26315789473684209</v>
      </c>
    </row>
    <row r="802" spans="1:21" x14ac:dyDescent="0.25">
      <c r="A802" t="s">
        <v>1053</v>
      </c>
      <c r="B802" s="1">
        <v>45876</v>
      </c>
      <c r="C802" t="s">
        <v>273</v>
      </c>
      <c r="D802" t="s">
        <v>196</v>
      </c>
      <c r="E802" t="s">
        <v>37</v>
      </c>
      <c r="F802" t="s">
        <v>38</v>
      </c>
      <c r="G802" t="s">
        <v>22</v>
      </c>
      <c r="H802" t="s">
        <v>46</v>
      </c>
      <c r="I802" t="s">
        <v>66</v>
      </c>
      <c r="J802">
        <v>5</v>
      </c>
      <c r="K802">
        <v>55000</v>
      </c>
      <c r="L802">
        <v>15</v>
      </c>
      <c r="M802">
        <v>233750</v>
      </c>
      <c r="N802">
        <v>192500</v>
      </c>
      <c r="O802">
        <v>41250</v>
      </c>
      <c r="P802" t="s">
        <v>58</v>
      </c>
      <c r="Q802" t="s">
        <v>33</v>
      </c>
      <c r="R802" t="str">
        <f>TEXT(SalesData[[#This Row],[Order Date]],"mmm")</f>
        <v>Aug</v>
      </c>
      <c r="S802" s="2" t="str">
        <f>"Q"&amp;ROUNDUP(MONTH(SalesData[[#This Row],[Order Date]])/3,0)</f>
        <v>Q3</v>
      </c>
      <c r="T802">
        <f>YEAR(SalesData[[#This Row],[Order Date]])</f>
        <v>2025</v>
      </c>
      <c r="U802">
        <f>SalesData[[#This Row],[Profit]]/SalesData[[#This Row],[Sales]]</f>
        <v>0.17647058823529413</v>
      </c>
    </row>
    <row r="803" spans="1:21" x14ac:dyDescent="0.25">
      <c r="A803" t="s">
        <v>1054</v>
      </c>
      <c r="B803" s="1">
        <v>45919</v>
      </c>
      <c r="C803" t="s">
        <v>345</v>
      </c>
      <c r="D803" t="s">
        <v>258</v>
      </c>
      <c r="E803" t="s">
        <v>50</v>
      </c>
      <c r="F803" t="s">
        <v>51</v>
      </c>
      <c r="G803" t="s">
        <v>52</v>
      </c>
      <c r="H803" t="s">
        <v>65</v>
      </c>
      <c r="I803" t="s">
        <v>72</v>
      </c>
      <c r="J803">
        <v>9</v>
      </c>
      <c r="K803">
        <v>3200</v>
      </c>
      <c r="L803">
        <v>0</v>
      </c>
      <c r="M803">
        <v>28800</v>
      </c>
      <c r="N803">
        <v>20160</v>
      </c>
      <c r="O803">
        <v>8640</v>
      </c>
      <c r="P803" t="s">
        <v>58</v>
      </c>
      <c r="Q803" t="s">
        <v>26</v>
      </c>
      <c r="R803" t="str">
        <f>TEXT(SalesData[[#This Row],[Order Date]],"mmm")</f>
        <v>Sep</v>
      </c>
      <c r="S803" s="2" t="str">
        <f>"Q"&amp;ROUNDUP(MONTH(SalesData[[#This Row],[Order Date]])/3,0)</f>
        <v>Q3</v>
      </c>
      <c r="T803">
        <f>YEAR(SalesData[[#This Row],[Order Date]])</f>
        <v>2025</v>
      </c>
      <c r="U803">
        <f>SalesData[[#This Row],[Profit]]/SalesData[[#This Row],[Sales]]</f>
        <v>0.3</v>
      </c>
    </row>
    <row r="804" spans="1:21" x14ac:dyDescent="0.25">
      <c r="A804" t="s">
        <v>1055</v>
      </c>
      <c r="B804" s="1">
        <v>45678</v>
      </c>
      <c r="C804" t="s">
        <v>270</v>
      </c>
      <c r="D804" t="s">
        <v>61</v>
      </c>
      <c r="E804" t="s">
        <v>20</v>
      </c>
      <c r="F804" t="s">
        <v>21</v>
      </c>
      <c r="G804" t="s">
        <v>22</v>
      </c>
      <c r="H804" t="s">
        <v>46</v>
      </c>
      <c r="I804" t="s">
        <v>39</v>
      </c>
      <c r="J804">
        <v>9</v>
      </c>
      <c r="K804">
        <v>3500</v>
      </c>
      <c r="L804">
        <v>20</v>
      </c>
      <c r="M804">
        <v>25200</v>
      </c>
      <c r="N804">
        <v>22050</v>
      </c>
      <c r="O804">
        <v>3150</v>
      </c>
      <c r="P804" t="s">
        <v>25</v>
      </c>
      <c r="Q804" t="s">
        <v>26</v>
      </c>
      <c r="R804" t="str">
        <f>TEXT(SalesData[[#This Row],[Order Date]],"mmm")</f>
        <v>Jan</v>
      </c>
      <c r="S804" s="2" t="str">
        <f>"Q"&amp;ROUNDUP(MONTH(SalesData[[#This Row],[Order Date]])/3,0)</f>
        <v>Q1</v>
      </c>
      <c r="T804">
        <f>YEAR(SalesData[[#This Row],[Order Date]])</f>
        <v>2025</v>
      </c>
      <c r="U804">
        <f>SalesData[[#This Row],[Profit]]/SalesData[[#This Row],[Sales]]</f>
        <v>0.125</v>
      </c>
    </row>
    <row r="805" spans="1:21" x14ac:dyDescent="0.25">
      <c r="A805" t="s">
        <v>1056</v>
      </c>
      <c r="B805" s="1">
        <v>45869</v>
      </c>
      <c r="C805" t="s">
        <v>144</v>
      </c>
      <c r="D805" t="s">
        <v>317</v>
      </c>
      <c r="E805" t="s">
        <v>70</v>
      </c>
      <c r="F805" t="s">
        <v>71</v>
      </c>
      <c r="G805" t="s">
        <v>22</v>
      </c>
      <c r="H805" t="s">
        <v>32</v>
      </c>
      <c r="I805" t="s">
        <v>39</v>
      </c>
      <c r="J805">
        <v>10</v>
      </c>
      <c r="K805">
        <v>1500</v>
      </c>
      <c r="L805">
        <v>0</v>
      </c>
      <c r="M805">
        <v>15000</v>
      </c>
      <c r="N805">
        <v>10500</v>
      </c>
      <c r="O805">
        <v>4500</v>
      </c>
      <c r="P805" t="s">
        <v>54</v>
      </c>
      <c r="Q805" t="s">
        <v>76</v>
      </c>
      <c r="R805" t="str">
        <f>TEXT(SalesData[[#This Row],[Order Date]],"mmm")</f>
        <v>Jul</v>
      </c>
      <c r="S805" s="2" t="str">
        <f>"Q"&amp;ROUNDUP(MONTH(SalesData[[#This Row],[Order Date]])/3,0)</f>
        <v>Q3</v>
      </c>
      <c r="T805">
        <f>YEAR(SalesData[[#This Row],[Order Date]])</f>
        <v>2025</v>
      </c>
      <c r="U805">
        <f>SalesData[[#This Row],[Profit]]/SalesData[[#This Row],[Sales]]</f>
        <v>0.3</v>
      </c>
    </row>
    <row r="806" spans="1:21" x14ac:dyDescent="0.25">
      <c r="A806" t="s">
        <v>1057</v>
      </c>
      <c r="B806" s="1">
        <v>45681</v>
      </c>
      <c r="C806" t="s">
        <v>112</v>
      </c>
      <c r="D806" t="s">
        <v>133</v>
      </c>
      <c r="E806" t="s">
        <v>50</v>
      </c>
      <c r="F806" t="s">
        <v>51</v>
      </c>
      <c r="G806" t="s">
        <v>52</v>
      </c>
      <c r="H806" t="s">
        <v>46</v>
      </c>
      <c r="I806" t="s">
        <v>24</v>
      </c>
      <c r="J806">
        <v>10</v>
      </c>
      <c r="K806">
        <v>3200</v>
      </c>
      <c r="L806">
        <v>5</v>
      </c>
      <c r="M806">
        <v>30400</v>
      </c>
      <c r="N806">
        <v>22400</v>
      </c>
      <c r="O806">
        <v>8000</v>
      </c>
      <c r="P806" t="s">
        <v>58</v>
      </c>
      <c r="Q806" t="s">
        <v>33</v>
      </c>
      <c r="R806" t="str">
        <f>TEXT(SalesData[[#This Row],[Order Date]],"mmm")</f>
        <v>Jan</v>
      </c>
      <c r="S806" s="2" t="str">
        <f>"Q"&amp;ROUNDUP(MONTH(SalesData[[#This Row],[Order Date]])/3,0)</f>
        <v>Q1</v>
      </c>
      <c r="T806">
        <f>YEAR(SalesData[[#This Row],[Order Date]])</f>
        <v>2025</v>
      </c>
      <c r="U806">
        <f>SalesData[[#This Row],[Profit]]/SalesData[[#This Row],[Sales]]</f>
        <v>0.26315789473684209</v>
      </c>
    </row>
    <row r="807" spans="1:21" x14ac:dyDescent="0.25">
      <c r="A807" t="s">
        <v>1058</v>
      </c>
      <c r="B807" s="1">
        <v>45766</v>
      </c>
      <c r="C807" t="s">
        <v>277</v>
      </c>
      <c r="D807" t="s">
        <v>355</v>
      </c>
      <c r="E807" t="s">
        <v>50</v>
      </c>
      <c r="F807" t="s">
        <v>51</v>
      </c>
      <c r="G807" t="s">
        <v>52</v>
      </c>
      <c r="H807" t="s">
        <v>65</v>
      </c>
      <c r="I807" t="s">
        <v>24</v>
      </c>
      <c r="J807">
        <v>1</v>
      </c>
      <c r="K807">
        <v>3200</v>
      </c>
      <c r="L807">
        <v>10</v>
      </c>
      <c r="M807">
        <v>2880</v>
      </c>
      <c r="N807">
        <v>2240</v>
      </c>
      <c r="O807">
        <v>640</v>
      </c>
      <c r="P807" t="s">
        <v>25</v>
      </c>
      <c r="Q807" t="s">
        <v>76</v>
      </c>
      <c r="R807" t="str">
        <f>TEXT(SalesData[[#This Row],[Order Date]],"mmm")</f>
        <v>Apr</v>
      </c>
      <c r="S807" s="2" t="str">
        <f>"Q"&amp;ROUNDUP(MONTH(SalesData[[#This Row],[Order Date]])/3,0)</f>
        <v>Q2</v>
      </c>
      <c r="T807">
        <f>YEAR(SalesData[[#This Row],[Order Date]])</f>
        <v>2025</v>
      </c>
      <c r="U807">
        <f>SalesData[[#This Row],[Profit]]/SalesData[[#This Row],[Sales]]</f>
        <v>0.22222222222222221</v>
      </c>
    </row>
    <row r="808" spans="1:21" x14ac:dyDescent="0.25">
      <c r="A808" t="s">
        <v>1059</v>
      </c>
      <c r="B808" s="1">
        <v>45917</v>
      </c>
      <c r="C808" t="s">
        <v>325</v>
      </c>
      <c r="D808" t="s">
        <v>329</v>
      </c>
      <c r="E808" t="s">
        <v>50</v>
      </c>
      <c r="F808" t="s">
        <v>51</v>
      </c>
      <c r="G808" t="s">
        <v>52</v>
      </c>
      <c r="H808" t="s">
        <v>23</v>
      </c>
      <c r="I808" t="s">
        <v>66</v>
      </c>
      <c r="J808">
        <v>4</v>
      </c>
      <c r="K808">
        <v>3200</v>
      </c>
      <c r="L808">
        <v>0</v>
      </c>
      <c r="M808">
        <v>12800</v>
      </c>
      <c r="N808">
        <v>8960</v>
      </c>
      <c r="O808">
        <v>3840</v>
      </c>
      <c r="P808" t="s">
        <v>25</v>
      </c>
      <c r="Q808" t="s">
        <v>33</v>
      </c>
      <c r="R808" t="str">
        <f>TEXT(SalesData[[#This Row],[Order Date]],"mmm")</f>
        <v>Sep</v>
      </c>
      <c r="S808" s="2" t="str">
        <f>"Q"&amp;ROUNDUP(MONTH(SalesData[[#This Row],[Order Date]])/3,0)</f>
        <v>Q3</v>
      </c>
      <c r="T808">
        <f>YEAR(SalesData[[#This Row],[Order Date]])</f>
        <v>2025</v>
      </c>
      <c r="U808">
        <f>SalesData[[#This Row],[Profit]]/SalesData[[#This Row],[Sales]]</f>
        <v>0.3</v>
      </c>
    </row>
    <row r="809" spans="1:21" x14ac:dyDescent="0.25">
      <c r="A809" t="s">
        <v>1060</v>
      </c>
      <c r="B809" s="1">
        <v>45725</v>
      </c>
      <c r="C809" t="s">
        <v>315</v>
      </c>
      <c r="D809" t="s">
        <v>57</v>
      </c>
      <c r="E809" t="s">
        <v>70</v>
      </c>
      <c r="F809" t="s">
        <v>71</v>
      </c>
      <c r="G809" t="s">
        <v>22</v>
      </c>
      <c r="H809" t="s">
        <v>65</v>
      </c>
      <c r="I809" t="s">
        <v>53</v>
      </c>
      <c r="J809">
        <v>1</v>
      </c>
      <c r="K809">
        <v>1500</v>
      </c>
      <c r="L809">
        <v>10</v>
      </c>
      <c r="M809">
        <v>1350</v>
      </c>
      <c r="N809">
        <v>1050</v>
      </c>
      <c r="O809">
        <v>300</v>
      </c>
      <c r="P809" t="s">
        <v>58</v>
      </c>
      <c r="Q809" t="s">
        <v>26</v>
      </c>
      <c r="R809" t="str">
        <f>TEXT(SalesData[[#This Row],[Order Date]],"mmm")</f>
        <v>Mar</v>
      </c>
      <c r="S809" s="2" t="str">
        <f>"Q"&amp;ROUNDUP(MONTH(SalesData[[#This Row],[Order Date]])/3,0)</f>
        <v>Q1</v>
      </c>
      <c r="T809">
        <f>YEAR(SalesData[[#This Row],[Order Date]])</f>
        <v>2025</v>
      </c>
      <c r="U809">
        <f>SalesData[[#This Row],[Profit]]/SalesData[[#This Row],[Sales]]</f>
        <v>0.22222222222222221</v>
      </c>
    </row>
    <row r="810" spans="1:21" x14ac:dyDescent="0.25">
      <c r="A810" t="s">
        <v>1061</v>
      </c>
      <c r="B810" s="1">
        <v>45822</v>
      </c>
      <c r="C810" t="s">
        <v>78</v>
      </c>
      <c r="D810" t="s">
        <v>394</v>
      </c>
      <c r="E810" t="s">
        <v>37</v>
      </c>
      <c r="F810" t="s">
        <v>38</v>
      </c>
      <c r="G810" t="s">
        <v>22</v>
      </c>
      <c r="H810" t="s">
        <v>65</v>
      </c>
      <c r="I810" t="s">
        <v>39</v>
      </c>
      <c r="J810">
        <v>6</v>
      </c>
      <c r="K810">
        <v>55000</v>
      </c>
      <c r="L810">
        <v>0</v>
      </c>
      <c r="M810">
        <v>330000</v>
      </c>
      <c r="N810">
        <v>231000</v>
      </c>
      <c r="O810">
        <v>99000.000000000029</v>
      </c>
      <c r="P810" t="s">
        <v>58</v>
      </c>
      <c r="Q810" t="s">
        <v>26</v>
      </c>
      <c r="R810" t="str">
        <f>TEXT(SalesData[[#This Row],[Order Date]],"mmm")</f>
        <v>Jun</v>
      </c>
      <c r="S810" s="2" t="str">
        <f>"Q"&amp;ROUNDUP(MONTH(SalesData[[#This Row],[Order Date]])/3,0)</f>
        <v>Q2</v>
      </c>
      <c r="T810">
        <f>YEAR(SalesData[[#This Row],[Order Date]])</f>
        <v>2025</v>
      </c>
      <c r="U810">
        <f>SalesData[[#This Row],[Profit]]/SalesData[[#This Row],[Sales]]</f>
        <v>0.3000000000000001</v>
      </c>
    </row>
    <row r="811" spans="1:21" x14ac:dyDescent="0.25">
      <c r="A811" t="s">
        <v>1062</v>
      </c>
      <c r="B811" s="1">
        <v>45737</v>
      </c>
      <c r="C811" t="s">
        <v>60</v>
      </c>
      <c r="D811" t="s">
        <v>420</v>
      </c>
      <c r="E811" t="s">
        <v>62</v>
      </c>
      <c r="F811" t="s">
        <v>63</v>
      </c>
      <c r="G811" t="s">
        <v>64</v>
      </c>
      <c r="H811" t="s">
        <v>46</v>
      </c>
      <c r="I811" t="s">
        <v>72</v>
      </c>
      <c r="J811">
        <v>9</v>
      </c>
      <c r="K811">
        <v>8500</v>
      </c>
      <c r="L811">
        <v>20</v>
      </c>
      <c r="M811">
        <v>61200</v>
      </c>
      <c r="N811">
        <v>53550</v>
      </c>
      <c r="O811">
        <v>7650</v>
      </c>
      <c r="P811" t="s">
        <v>40</v>
      </c>
      <c r="Q811" t="s">
        <v>76</v>
      </c>
      <c r="R811" t="str">
        <f>TEXT(SalesData[[#This Row],[Order Date]],"mmm")</f>
        <v>Mar</v>
      </c>
      <c r="S811" s="2" t="str">
        <f>"Q"&amp;ROUNDUP(MONTH(SalesData[[#This Row],[Order Date]])/3,0)</f>
        <v>Q1</v>
      </c>
      <c r="T811">
        <f>YEAR(SalesData[[#This Row],[Order Date]])</f>
        <v>2025</v>
      </c>
      <c r="U811">
        <f>SalesData[[#This Row],[Profit]]/SalesData[[#This Row],[Sales]]</f>
        <v>0.125</v>
      </c>
    </row>
    <row r="812" spans="1:21" x14ac:dyDescent="0.25">
      <c r="A812" t="s">
        <v>1063</v>
      </c>
      <c r="B812" s="1">
        <v>45660</v>
      </c>
      <c r="C812" t="s">
        <v>242</v>
      </c>
      <c r="D812" t="s">
        <v>278</v>
      </c>
      <c r="E812" t="s">
        <v>50</v>
      </c>
      <c r="F812" t="s">
        <v>51</v>
      </c>
      <c r="G812" t="s">
        <v>52</v>
      </c>
      <c r="H812" t="s">
        <v>46</v>
      </c>
      <c r="I812" t="s">
        <v>39</v>
      </c>
      <c r="J812">
        <v>8</v>
      </c>
      <c r="K812">
        <v>3200</v>
      </c>
      <c r="L812">
        <v>20</v>
      </c>
      <c r="M812">
        <v>20480</v>
      </c>
      <c r="N812">
        <v>17920</v>
      </c>
      <c r="O812">
        <v>2560</v>
      </c>
      <c r="P812" t="s">
        <v>25</v>
      </c>
      <c r="Q812" t="s">
        <v>26</v>
      </c>
      <c r="R812" t="str">
        <f>TEXT(SalesData[[#This Row],[Order Date]],"mmm")</f>
        <v>Jan</v>
      </c>
      <c r="S812" s="2" t="str">
        <f>"Q"&amp;ROUNDUP(MONTH(SalesData[[#This Row],[Order Date]])/3,0)</f>
        <v>Q1</v>
      </c>
      <c r="T812">
        <f>YEAR(SalesData[[#This Row],[Order Date]])</f>
        <v>2025</v>
      </c>
      <c r="U812">
        <f>SalesData[[#This Row],[Profit]]/SalesData[[#This Row],[Sales]]</f>
        <v>0.125</v>
      </c>
    </row>
    <row r="813" spans="1:21" x14ac:dyDescent="0.25">
      <c r="A813" t="s">
        <v>1064</v>
      </c>
      <c r="B813" s="1">
        <v>45828</v>
      </c>
      <c r="C813" t="s">
        <v>123</v>
      </c>
      <c r="D813" t="s">
        <v>224</v>
      </c>
      <c r="E813" t="s">
        <v>20</v>
      </c>
      <c r="F813" t="s">
        <v>21</v>
      </c>
      <c r="G813" t="s">
        <v>22</v>
      </c>
      <c r="H813" t="s">
        <v>65</v>
      </c>
      <c r="I813" t="s">
        <v>80</v>
      </c>
      <c r="J813">
        <v>3</v>
      </c>
      <c r="K813">
        <v>3500</v>
      </c>
      <c r="L813">
        <v>5</v>
      </c>
      <c r="M813">
        <v>9975</v>
      </c>
      <c r="N813">
        <v>7349.9999999999991</v>
      </c>
      <c r="O813">
        <v>2625.0000000000009</v>
      </c>
      <c r="P813" t="s">
        <v>40</v>
      </c>
      <c r="Q813" t="s">
        <v>33</v>
      </c>
      <c r="R813" t="str">
        <f>TEXT(SalesData[[#This Row],[Order Date]],"mmm")</f>
        <v>Jun</v>
      </c>
      <c r="S813" s="2" t="str">
        <f>"Q"&amp;ROUNDUP(MONTH(SalesData[[#This Row],[Order Date]])/3,0)</f>
        <v>Q2</v>
      </c>
      <c r="T813">
        <f>YEAR(SalesData[[#This Row],[Order Date]])</f>
        <v>2025</v>
      </c>
      <c r="U813">
        <f>SalesData[[#This Row],[Profit]]/SalesData[[#This Row],[Sales]]</f>
        <v>0.2631578947368422</v>
      </c>
    </row>
    <row r="814" spans="1:21" x14ac:dyDescent="0.25">
      <c r="A814" t="s">
        <v>1065</v>
      </c>
      <c r="B814" s="1">
        <v>45668</v>
      </c>
      <c r="C814" t="s">
        <v>325</v>
      </c>
      <c r="D814" t="s">
        <v>502</v>
      </c>
      <c r="E814" t="s">
        <v>62</v>
      </c>
      <c r="F814" t="s">
        <v>63</v>
      </c>
      <c r="G814" t="s">
        <v>64</v>
      </c>
      <c r="H814" t="s">
        <v>65</v>
      </c>
      <c r="I814" t="s">
        <v>80</v>
      </c>
      <c r="J814">
        <v>7</v>
      </c>
      <c r="K814">
        <v>8500</v>
      </c>
      <c r="L814">
        <v>15</v>
      </c>
      <c r="M814">
        <v>50575</v>
      </c>
      <c r="N814">
        <v>41650</v>
      </c>
      <c r="O814">
        <v>8925</v>
      </c>
      <c r="P814" t="s">
        <v>25</v>
      </c>
      <c r="Q814" t="s">
        <v>26</v>
      </c>
      <c r="R814" t="str">
        <f>TEXT(SalesData[[#This Row],[Order Date]],"mmm")</f>
        <v>Jan</v>
      </c>
      <c r="S814" s="2" t="str">
        <f>"Q"&amp;ROUNDUP(MONTH(SalesData[[#This Row],[Order Date]])/3,0)</f>
        <v>Q1</v>
      </c>
      <c r="T814">
        <f>YEAR(SalesData[[#This Row],[Order Date]])</f>
        <v>2025</v>
      </c>
      <c r="U814">
        <f>SalesData[[#This Row],[Profit]]/SalesData[[#This Row],[Sales]]</f>
        <v>0.17647058823529413</v>
      </c>
    </row>
    <row r="815" spans="1:21" x14ac:dyDescent="0.25">
      <c r="A815" t="s">
        <v>1066</v>
      </c>
      <c r="B815" s="1">
        <v>45971</v>
      </c>
      <c r="C815" t="s">
        <v>234</v>
      </c>
      <c r="D815" t="s">
        <v>139</v>
      </c>
      <c r="E815" t="s">
        <v>50</v>
      </c>
      <c r="F815" t="s">
        <v>51</v>
      </c>
      <c r="G815" t="s">
        <v>52</v>
      </c>
      <c r="H815" t="s">
        <v>46</v>
      </c>
      <c r="I815" t="s">
        <v>39</v>
      </c>
      <c r="J815">
        <v>6</v>
      </c>
      <c r="K815">
        <v>3200</v>
      </c>
      <c r="L815">
        <v>15</v>
      </c>
      <c r="M815">
        <v>16320</v>
      </c>
      <c r="N815">
        <v>13440</v>
      </c>
      <c r="O815">
        <v>2880</v>
      </c>
      <c r="P815" t="s">
        <v>25</v>
      </c>
      <c r="Q815" t="s">
        <v>76</v>
      </c>
      <c r="R815" t="str">
        <f>TEXT(SalesData[[#This Row],[Order Date]],"mmm")</f>
        <v>Nov</v>
      </c>
      <c r="S815" s="2" t="str">
        <f>"Q"&amp;ROUNDUP(MONTH(SalesData[[#This Row],[Order Date]])/3,0)</f>
        <v>Q4</v>
      </c>
      <c r="T815">
        <f>YEAR(SalesData[[#This Row],[Order Date]])</f>
        <v>2025</v>
      </c>
      <c r="U815">
        <f>SalesData[[#This Row],[Profit]]/SalesData[[#This Row],[Sales]]</f>
        <v>0.17647058823529413</v>
      </c>
    </row>
    <row r="816" spans="1:21" x14ac:dyDescent="0.25">
      <c r="A816" t="s">
        <v>1067</v>
      </c>
      <c r="B816" s="1">
        <v>45778</v>
      </c>
      <c r="C816" t="s">
        <v>360</v>
      </c>
      <c r="D816" t="s">
        <v>153</v>
      </c>
      <c r="E816" t="s">
        <v>70</v>
      </c>
      <c r="F816" t="s">
        <v>71</v>
      </c>
      <c r="G816" t="s">
        <v>22</v>
      </c>
      <c r="H816" t="s">
        <v>65</v>
      </c>
      <c r="I816" t="s">
        <v>53</v>
      </c>
      <c r="J816">
        <v>10</v>
      </c>
      <c r="K816">
        <v>1500</v>
      </c>
      <c r="L816">
        <v>20</v>
      </c>
      <c r="M816">
        <v>12000</v>
      </c>
      <c r="N816">
        <v>10500</v>
      </c>
      <c r="O816">
        <v>1500</v>
      </c>
      <c r="P816" t="s">
        <v>58</v>
      </c>
      <c r="Q816" t="s">
        <v>26</v>
      </c>
      <c r="R816" t="str">
        <f>TEXT(SalesData[[#This Row],[Order Date]],"mmm")</f>
        <v>May</v>
      </c>
      <c r="S816" s="2" t="str">
        <f>"Q"&amp;ROUNDUP(MONTH(SalesData[[#This Row],[Order Date]])/3,0)</f>
        <v>Q2</v>
      </c>
      <c r="T816">
        <f>YEAR(SalesData[[#This Row],[Order Date]])</f>
        <v>2025</v>
      </c>
      <c r="U816">
        <f>SalesData[[#This Row],[Profit]]/SalesData[[#This Row],[Sales]]</f>
        <v>0.125</v>
      </c>
    </row>
    <row r="817" spans="1:21" x14ac:dyDescent="0.25">
      <c r="A817" t="s">
        <v>1068</v>
      </c>
      <c r="B817" s="1">
        <v>45715</v>
      </c>
      <c r="C817" t="s">
        <v>229</v>
      </c>
      <c r="D817" t="s">
        <v>171</v>
      </c>
      <c r="E817" t="s">
        <v>62</v>
      </c>
      <c r="F817" t="s">
        <v>63</v>
      </c>
      <c r="G817" t="s">
        <v>64</v>
      </c>
      <c r="H817" t="s">
        <v>23</v>
      </c>
      <c r="I817" t="s">
        <v>72</v>
      </c>
      <c r="J817">
        <v>4</v>
      </c>
      <c r="K817">
        <v>8500</v>
      </c>
      <c r="L817">
        <v>0</v>
      </c>
      <c r="M817">
        <v>34000</v>
      </c>
      <c r="N817">
        <v>23800</v>
      </c>
      <c r="O817">
        <v>10200</v>
      </c>
      <c r="P817" t="s">
        <v>25</v>
      </c>
      <c r="Q817" t="s">
        <v>26</v>
      </c>
      <c r="R817" t="str">
        <f>TEXT(SalesData[[#This Row],[Order Date]],"mmm")</f>
        <v>Feb</v>
      </c>
      <c r="S817" s="2" t="str">
        <f>"Q"&amp;ROUNDUP(MONTH(SalesData[[#This Row],[Order Date]])/3,0)</f>
        <v>Q1</v>
      </c>
      <c r="T817">
        <f>YEAR(SalesData[[#This Row],[Order Date]])</f>
        <v>2025</v>
      </c>
      <c r="U817">
        <f>SalesData[[#This Row],[Profit]]/SalesData[[#This Row],[Sales]]</f>
        <v>0.3</v>
      </c>
    </row>
    <row r="818" spans="1:21" x14ac:dyDescent="0.25">
      <c r="A818" t="s">
        <v>1069</v>
      </c>
      <c r="B818" s="1">
        <v>45767</v>
      </c>
      <c r="C818" t="s">
        <v>376</v>
      </c>
      <c r="D818" t="s">
        <v>201</v>
      </c>
      <c r="E818" t="s">
        <v>20</v>
      </c>
      <c r="F818" t="s">
        <v>21</v>
      </c>
      <c r="G818" t="s">
        <v>22</v>
      </c>
      <c r="H818" t="s">
        <v>46</v>
      </c>
      <c r="I818" t="s">
        <v>53</v>
      </c>
      <c r="J818">
        <v>8</v>
      </c>
      <c r="K818">
        <v>3500</v>
      </c>
      <c r="L818">
        <v>10</v>
      </c>
      <c r="M818">
        <v>25200</v>
      </c>
      <c r="N818">
        <v>19600</v>
      </c>
      <c r="O818">
        <v>5600</v>
      </c>
      <c r="P818" t="s">
        <v>54</v>
      </c>
      <c r="Q818" t="s">
        <v>76</v>
      </c>
      <c r="R818" t="str">
        <f>TEXT(SalesData[[#This Row],[Order Date]],"mmm")</f>
        <v>Apr</v>
      </c>
      <c r="S818" s="2" t="str">
        <f>"Q"&amp;ROUNDUP(MONTH(SalesData[[#This Row],[Order Date]])/3,0)</f>
        <v>Q2</v>
      </c>
      <c r="T818">
        <f>YEAR(SalesData[[#This Row],[Order Date]])</f>
        <v>2025</v>
      </c>
      <c r="U818">
        <f>SalesData[[#This Row],[Profit]]/SalesData[[#This Row],[Sales]]</f>
        <v>0.22222222222222221</v>
      </c>
    </row>
    <row r="819" spans="1:21" x14ac:dyDescent="0.25">
      <c r="A819" t="s">
        <v>1070</v>
      </c>
      <c r="B819" s="1">
        <v>45985</v>
      </c>
      <c r="C819" t="s">
        <v>138</v>
      </c>
      <c r="D819" t="s">
        <v>275</v>
      </c>
      <c r="E819" t="s">
        <v>20</v>
      </c>
      <c r="F819" t="s">
        <v>21</v>
      </c>
      <c r="G819" t="s">
        <v>22</v>
      </c>
      <c r="H819" t="s">
        <v>23</v>
      </c>
      <c r="I819" t="s">
        <v>80</v>
      </c>
      <c r="J819">
        <v>8</v>
      </c>
      <c r="K819">
        <v>3500</v>
      </c>
      <c r="L819">
        <v>15</v>
      </c>
      <c r="M819">
        <v>23800</v>
      </c>
      <c r="N819">
        <v>19600</v>
      </c>
      <c r="O819">
        <v>4200</v>
      </c>
      <c r="P819" t="s">
        <v>40</v>
      </c>
      <c r="Q819" t="s">
        <v>76</v>
      </c>
      <c r="R819" t="str">
        <f>TEXT(SalesData[[#This Row],[Order Date]],"mmm")</f>
        <v>Nov</v>
      </c>
      <c r="S819" s="2" t="str">
        <f>"Q"&amp;ROUNDUP(MONTH(SalesData[[#This Row],[Order Date]])/3,0)</f>
        <v>Q4</v>
      </c>
      <c r="T819">
        <f>YEAR(SalesData[[#This Row],[Order Date]])</f>
        <v>2025</v>
      </c>
      <c r="U819">
        <f>SalesData[[#This Row],[Profit]]/SalesData[[#This Row],[Sales]]</f>
        <v>0.17647058823529413</v>
      </c>
    </row>
    <row r="820" spans="1:21" x14ac:dyDescent="0.25">
      <c r="A820" t="s">
        <v>1071</v>
      </c>
      <c r="B820" s="1">
        <v>45998</v>
      </c>
      <c r="C820" t="s">
        <v>495</v>
      </c>
      <c r="D820" t="s">
        <v>139</v>
      </c>
      <c r="E820" t="s">
        <v>44</v>
      </c>
      <c r="F820" t="s">
        <v>45</v>
      </c>
      <c r="G820" t="s">
        <v>22</v>
      </c>
      <c r="H820" t="s">
        <v>23</v>
      </c>
      <c r="I820" t="s">
        <v>24</v>
      </c>
      <c r="J820">
        <v>10</v>
      </c>
      <c r="K820">
        <v>9500</v>
      </c>
      <c r="L820">
        <v>0</v>
      </c>
      <c r="M820">
        <v>95000</v>
      </c>
      <c r="N820">
        <v>66500</v>
      </c>
      <c r="O820">
        <v>28500</v>
      </c>
      <c r="P820" t="s">
        <v>58</v>
      </c>
      <c r="Q820" t="s">
        <v>33</v>
      </c>
      <c r="R820" t="str">
        <f>TEXT(SalesData[[#This Row],[Order Date]],"mmm")</f>
        <v>Dec</v>
      </c>
      <c r="S820" s="2" t="str">
        <f>"Q"&amp;ROUNDUP(MONTH(SalesData[[#This Row],[Order Date]])/3,0)</f>
        <v>Q4</v>
      </c>
      <c r="T820">
        <f>YEAR(SalesData[[#This Row],[Order Date]])</f>
        <v>2025</v>
      </c>
      <c r="U820">
        <f>SalesData[[#This Row],[Profit]]/SalesData[[#This Row],[Sales]]</f>
        <v>0.3</v>
      </c>
    </row>
    <row r="821" spans="1:21" x14ac:dyDescent="0.25">
      <c r="A821" t="s">
        <v>1072</v>
      </c>
      <c r="B821" s="1">
        <v>46014</v>
      </c>
      <c r="C821" t="s">
        <v>476</v>
      </c>
      <c r="D821" t="s">
        <v>502</v>
      </c>
      <c r="E821" t="s">
        <v>30</v>
      </c>
      <c r="F821" t="s">
        <v>31</v>
      </c>
      <c r="G821" t="s">
        <v>22</v>
      </c>
      <c r="H821" t="s">
        <v>32</v>
      </c>
      <c r="I821" t="s">
        <v>39</v>
      </c>
      <c r="J821">
        <v>4</v>
      </c>
      <c r="K821">
        <v>800</v>
      </c>
      <c r="L821">
        <v>10</v>
      </c>
      <c r="M821">
        <v>2880</v>
      </c>
      <c r="N821">
        <v>2240</v>
      </c>
      <c r="O821">
        <v>640</v>
      </c>
      <c r="P821" t="s">
        <v>40</v>
      </c>
      <c r="Q821" t="s">
        <v>33</v>
      </c>
      <c r="R821" t="str">
        <f>TEXT(SalesData[[#This Row],[Order Date]],"mmm")</f>
        <v>Dec</v>
      </c>
      <c r="S821" s="2" t="str">
        <f>"Q"&amp;ROUNDUP(MONTH(SalesData[[#This Row],[Order Date]])/3,0)</f>
        <v>Q4</v>
      </c>
      <c r="T821">
        <f>YEAR(SalesData[[#This Row],[Order Date]])</f>
        <v>2025</v>
      </c>
      <c r="U821">
        <f>SalesData[[#This Row],[Profit]]/SalesData[[#This Row],[Sales]]</f>
        <v>0.22222222222222221</v>
      </c>
    </row>
    <row r="822" spans="1:21" x14ac:dyDescent="0.25">
      <c r="A822" t="s">
        <v>1073</v>
      </c>
      <c r="B822" s="1">
        <v>45924</v>
      </c>
      <c r="C822" t="s">
        <v>195</v>
      </c>
      <c r="D822" t="s">
        <v>320</v>
      </c>
      <c r="E822" t="s">
        <v>70</v>
      </c>
      <c r="F822" t="s">
        <v>71</v>
      </c>
      <c r="G822" t="s">
        <v>22</v>
      </c>
      <c r="H822" t="s">
        <v>23</v>
      </c>
      <c r="I822" t="s">
        <v>72</v>
      </c>
      <c r="J822">
        <v>8</v>
      </c>
      <c r="K822">
        <v>1500</v>
      </c>
      <c r="L822">
        <v>0</v>
      </c>
      <c r="M822">
        <v>12000</v>
      </c>
      <c r="N822">
        <v>8400</v>
      </c>
      <c r="O822">
        <v>3600</v>
      </c>
      <c r="P822" t="s">
        <v>54</v>
      </c>
      <c r="Q822" t="s">
        <v>76</v>
      </c>
      <c r="R822" t="str">
        <f>TEXT(SalesData[[#This Row],[Order Date]],"mmm")</f>
        <v>Sep</v>
      </c>
      <c r="S822" s="2" t="str">
        <f>"Q"&amp;ROUNDUP(MONTH(SalesData[[#This Row],[Order Date]])/3,0)</f>
        <v>Q3</v>
      </c>
      <c r="T822">
        <f>YEAR(SalesData[[#This Row],[Order Date]])</f>
        <v>2025</v>
      </c>
      <c r="U822">
        <f>SalesData[[#This Row],[Profit]]/SalesData[[#This Row],[Sales]]</f>
        <v>0.3</v>
      </c>
    </row>
    <row r="823" spans="1:21" x14ac:dyDescent="0.25">
      <c r="A823" t="s">
        <v>1074</v>
      </c>
      <c r="B823" s="1">
        <v>45811</v>
      </c>
      <c r="C823" t="s">
        <v>159</v>
      </c>
      <c r="D823" t="s">
        <v>338</v>
      </c>
      <c r="E823" t="s">
        <v>62</v>
      </c>
      <c r="F823" t="s">
        <v>63</v>
      </c>
      <c r="G823" t="s">
        <v>64</v>
      </c>
      <c r="H823" t="s">
        <v>46</v>
      </c>
      <c r="I823" t="s">
        <v>39</v>
      </c>
      <c r="J823">
        <v>8</v>
      </c>
      <c r="K823">
        <v>8500</v>
      </c>
      <c r="L823">
        <v>5</v>
      </c>
      <c r="M823">
        <v>64600</v>
      </c>
      <c r="N823">
        <v>47600</v>
      </c>
      <c r="O823">
        <v>17000</v>
      </c>
      <c r="P823" t="s">
        <v>58</v>
      </c>
      <c r="Q823" t="s">
        <v>33</v>
      </c>
      <c r="R823" t="str">
        <f>TEXT(SalesData[[#This Row],[Order Date]],"mmm")</f>
        <v>Jun</v>
      </c>
      <c r="S823" s="2" t="str">
        <f>"Q"&amp;ROUNDUP(MONTH(SalesData[[#This Row],[Order Date]])/3,0)</f>
        <v>Q2</v>
      </c>
      <c r="T823">
        <f>YEAR(SalesData[[#This Row],[Order Date]])</f>
        <v>2025</v>
      </c>
      <c r="U823">
        <f>SalesData[[#This Row],[Profit]]/SalesData[[#This Row],[Sales]]</f>
        <v>0.26315789473684209</v>
      </c>
    </row>
    <row r="824" spans="1:21" x14ac:dyDescent="0.25">
      <c r="A824" t="s">
        <v>1075</v>
      </c>
      <c r="B824" s="1">
        <v>45669</v>
      </c>
      <c r="C824" t="s">
        <v>270</v>
      </c>
      <c r="D824" t="s">
        <v>665</v>
      </c>
      <c r="E824" t="s">
        <v>62</v>
      </c>
      <c r="F824" t="s">
        <v>63</v>
      </c>
      <c r="G824" t="s">
        <v>64</v>
      </c>
      <c r="H824" t="s">
        <v>46</v>
      </c>
      <c r="I824" t="s">
        <v>66</v>
      </c>
      <c r="J824">
        <v>9</v>
      </c>
      <c r="K824">
        <v>8500</v>
      </c>
      <c r="L824">
        <v>10</v>
      </c>
      <c r="M824">
        <v>68850</v>
      </c>
      <c r="N824">
        <v>53550</v>
      </c>
      <c r="O824">
        <v>15300</v>
      </c>
      <c r="P824" t="s">
        <v>58</v>
      </c>
      <c r="Q824" t="s">
        <v>26</v>
      </c>
      <c r="R824" t="str">
        <f>TEXT(SalesData[[#This Row],[Order Date]],"mmm")</f>
        <v>Jan</v>
      </c>
      <c r="S824" s="2" t="str">
        <f>"Q"&amp;ROUNDUP(MONTH(SalesData[[#This Row],[Order Date]])/3,0)</f>
        <v>Q1</v>
      </c>
      <c r="T824">
        <f>YEAR(SalesData[[#This Row],[Order Date]])</f>
        <v>2025</v>
      </c>
      <c r="U824">
        <f>SalesData[[#This Row],[Profit]]/SalesData[[#This Row],[Sales]]</f>
        <v>0.22222222222222221</v>
      </c>
    </row>
    <row r="825" spans="1:21" x14ac:dyDescent="0.25">
      <c r="A825" t="s">
        <v>1076</v>
      </c>
      <c r="B825" s="1">
        <v>45670</v>
      </c>
      <c r="C825" t="s">
        <v>125</v>
      </c>
      <c r="D825" t="s">
        <v>310</v>
      </c>
      <c r="E825" t="s">
        <v>20</v>
      </c>
      <c r="F825" t="s">
        <v>21</v>
      </c>
      <c r="G825" t="s">
        <v>22</v>
      </c>
      <c r="H825" t="s">
        <v>65</v>
      </c>
      <c r="I825" t="s">
        <v>72</v>
      </c>
      <c r="J825">
        <v>9</v>
      </c>
      <c r="K825">
        <v>3500</v>
      </c>
      <c r="L825">
        <v>20</v>
      </c>
      <c r="M825">
        <v>25200</v>
      </c>
      <c r="N825">
        <v>22050</v>
      </c>
      <c r="O825">
        <v>3150</v>
      </c>
      <c r="P825" t="s">
        <v>54</v>
      </c>
      <c r="Q825" t="s">
        <v>33</v>
      </c>
      <c r="R825" t="str">
        <f>TEXT(SalesData[[#This Row],[Order Date]],"mmm")</f>
        <v>Jan</v>
      </c>
      <c r="S825" s="2" t="str">
        <f>"Q"&amp;ROUNDUP(MONTH(SalesData[[#This Row],[Order Date]])/3,0)</f>
        <v>Q1</v>
      </c>
      <c r="T825">
        <f>YEAR(SalesData[[#This Row],[Order Date]])</f>
        <v>2025</v>
      </c>
      <c r="U825">
        <f>SalesData[[#This Row],[Profit]]/SalesData[[#This Row],[Sales]]</f>
        <v>0.125</v>
      </c>
    </row>
    <row r="826" spans="1:21" x14ac:dyDescent="0.25">
      <c r="A826" t="s">
        <v>1077</v>
      </c>
      <c r="B826" s="1">
        <v>45667</v>
      </c>
      <c r="C826" t="s">
        <v>152</v>
      </c>
      <c r="D826" t="s">
        <v>389</v>
      </c>
      <c r="E826" t="s">
        <v>62</v>
      </c>
      <c r="F826" t="s">
        <v>63</v>
      </c>
      <c r="G826" t="s">
        <v>64</v>
      </c>
      <c r="H826" t="s">
        <v>23</v>
      </c>
      <c r="I826" t="s">
        <v>53</v>
      </c>
      <c r="J826">
        <v>5</v>
      </c>
      <c r="K826">
        <v>8500</v>
      </c>
      <c r="L826">
        <v>5</v>
      </c>
      <c r="M826">
        <v>40375</v>
      </c>
      <c r="N826">
        <v>29750</v>
      </c>
      <c r="O826">
        <v>10625</v>
      </c>
      <c r="P826" t="s">
        <v>25</v>
      </c>
      <c r="Q826" t="s">
        <v>33</v>
      </c>
      <c r="R826" t="str">
        <f>TEXT(SalesData[[#This Row],[Order Date]],"mmm")</f>
        <v>Jan</v>
      </c>
      <c r="S826" s="2" t="str">
        <f>"Q"&amp;ROUNDUP(MONTH(SalesData[[#This Row],[Order Date]])/3,0)</f>
        <v>Q1</v>
      </c>
      <c r="T826">
        <f>YEAR(SalesData[[#This Row],[Order Date]])</f>
        <v>2025</v>
      </c>
      <c r="U826">
        <f>SalesData[[#This Row],[Profit]]/SalesData[[#This Row],[Sales]]</f>
        <v>0.26315789473684209</v>
      </c>
    </row>
    <row r="827" spans="1:21" x14ac:dyDescent="0.25">
      <c r="A827" t="s">
        <v>1078</v>
      </c>
      <c r="B827" s="1">
        <v>45948</v>
      </c>
      <c r="C827" t="s">
        <v>115</v>
      </c>
      <c r="D827" t="s">
        <v>717</v>
      </c>
      <c r="E827" t="s">
        <v>50</v>
      </c>
      <c r="F827" t="s">
        <v>51</v>
      </c>
      <c r="G827" t="s">
        <v>52</v>
      </c>
      <c r="H827" t="s">
        <v>32</v>
      </c>
      <c r="I827" t="s">
        <v>72</v>
      </c>
      <c r="J827">
        <v>9</v>
      </c>
      <c r="K827">
        <v>3200</v>
      </c>
      <c r="L827">
        <v>5</v>
      </c>
      <c r="M827">
        <v>27360</v>
      </c>
      <c r="N827">
        <v>20160</v>
      </c>
      <c r="O827">
        <v>7200</v>
      </c>
      <c r="P827" t="s">
        <v>40</v>
      </c>
      <c r="Q827" t="s">
        <v>33</v>
      </c>
      <c r="R827" t="str">
        <f>TEXT(SalesData[[#This Row],[Order Date]],"mmm")</f>
        <v>Oct</v>
      </c>
      <c r="S827" s="2" t="str">
        <f>"Q"&amp;ROUNDUP(MONTH(SalesData[[#This Row],[Order Date]])/3,0)</f>
        <v>Q4</v>
      </c>
      <c r="T827">
        <f>YEAR(SalesData[[#This Row],[Order Date]])</f>
        <v>2025</v>
      </c>
      <c r="U827">
        <f>SalesData[[#This Row],[Profit]]/SalesData[[#This Row],[Sales]]</f>
        <v>0.26315789473684209</v>
      </c>
    </row>
    <row r="828" spans="1:21" x14ac:dyDescent="0.25">
      <c r="A828" t="s">
        <v>1079</v>
      </c>
      <c r="B828" s="1">
        <v>45978</v>
      </c>
      <c r="C828" t="s">
        <v>121</v>
      </c>
      <c r="D828" t="s">
        <v>110</v>
      </c>
      <c r="E828" t="s">
        <v>30</v>
      </c>
      <c r="F828" t="s">
        <v>31</v>
      </c>
      <c r="G828" t="s">
        <v>22</v>
      </c>
      <c r="H828" t="s">
        <v>23</v>
      </c>
      <c r="I828" t="s">
        <v>53</v>
      </c>
      <c r="J828">
        <v>6</v>
      </c>
      <c r="K828">
        <v>800</v>
      </c>
      <c r="L828">
        <v>0</v>
      </c>
      <c r="M828">
        <v>4800</v>
      </c>
      <c r="N828">
        <v>3360</v>
      </c>
      <c r="O828">
        <v>1440</v>
      </c>
      <c r="P828" t="s">
        <v>25</v>
      </c>
      <c r="Q828" t="s">
        <v>76</v>
      </c>
      <c r="R828" t="str">
        <f>TEXT(SalesData[[#This Row],[Order Date]],"mmm")</f>
        <v>Nov</v>
      </c>
      <c r="S828" s="2" t="str">
        <f>"Q"&amp;ROUNDUP(MONTH(SalesData[[#This Row],[Order Date]])/3,0)</f>
        <v>Q4</v>
      </c>
      <c r="T828">
        <f>YEAR(SalesData[[#This Row],[Order Date]])</f>
        <v>2025</v>
      </c>
      <c r="U828">
        <f>SalesData[[#This Row],[Profit]]/SalesData[[#This Row],[Sales]]</f>
        <v>0.3</v>
      </c>
    </row>
    <row r="829" spans="1:21" x14ac:dyDescent="0.25">
      <c r="A829" t="s">
        <v>1080</v>
      </c>
      <c r="B829" s="1">
        <v>45819</v>
      </c>
      <c r="C829" t="s">
        <v>208</v>
      </c>
      <c r="D829" t="s">
        <v>534</v>
      </c>
      <c r="E829" t="s">
        <v>62</v>
      </c>
      <c r="F829" t="s">
        <v>63</v>
      </c>
      <c r="G829" t="s">
        <v>64</v>
      </c>
      <c r="H829" t="s">
        <v>32</v>
      </c>
      <c r="I829" t="s">
        <v>80</v>
      </c>
      <c r="J829">
        <v>8</v>
      </c>
      <c r="K829">
        <v>8500</v>
      </c>
      <c r="L829">
        <v>20</v>
      </c>
      <c r="M829">
        <v>54400</v>
      </c>
      <c r="N829">
        <v>47600</v>
      </c>
      <c r="O829">
        <v>6800</v>
      </c>
      <c r="P829" t="s">
        <v>40</v>
      </c>
      <c r="Q829" t="s">
        <v>33</v>
      </c>
      <c r="R829" t="str">
        <f>TEXT(SalesData[[#This Row],[Order Date]],"mmm")</f>
        <v>Jun</v>
      </c>
      <c r="S829" s="2" t="str">
        <f>"Q"&amp;ROUNDUP(MONTH(SalesData[[#This Row],[Order Date]])/3,0)</f>
        <v>Q2</v>
      </c>
      <c r="T829">
        <f>YEAR(SalesData[[#This Row],[Order Date]])</f>
        <v>2025</v>
      </c>
      <c r="U829">
        <f>SalesData[[#This Row],[Profit]]/SalesData[[#This Row],[Sales]]</f>
        <v>0.125</v>
      </c>
    </row>
    <row r="830" spans="1:21" x14ac:dyDescent="0.25">
      <c r="A830" t="s">
        <v>1081</v>
      </c>
      <c r="B830" s="1">
        <v>45664</v>
      </c>
      <c r="C830" t="s">
        <v>277</v>
      </c>
      <c r="D830" t="s">
        <v>199</v>
      </c>
      <c r="E830" t="s">
        <v>50</v>
      </c>
      <c r="F830" t="s">
        <v>51</v>
      </c>
      <c r="G830" t="s">
        <v>52</v>
      </c>
      <c r="H830" t="s">
        <v>23</v>
      </c>
      <c r="I830" t="s">
        <v>53</v>
      </c>
      <c r="J830">
        <v>1</v>
      </c>
      <c r="K830">
        <v>3200</v>
      </c>
      <c r="L830">
        <v>0</v>
      </c>
      <c r="M830">
        <v>3200</v>
      </c>
      <c r="N830">
        <v>2240</v>
      </c>
      <c r="O830">
        <v>960</v>
      </c>
      <c r="P830" t="s">
        <v>58</v>
      </c>
      <c r="Q830" t="s">
        <v>26</v>
      </c>
      <c r="R830" t="str">
        <f>TEXT(SalesData[[#This Row],[Order Date]],"mmm")</f>
        <v>Jan</v>
      </c>
      <c r="S830" s="2" t="str">
        <f>"Q"&amp;ROUNDUP(MONTH(SalesData[[#This Row],[Order Date]])/3,0)</f>
        <v>Q1</v>
      </c>
      <c r="T830">
        <f>YEAR(SalesData[[#This Row],[Order Date]])</f>
        <v>2025</v>
      </c>
      <c r="U830">
        <f>SalesData[[#This Row],[Profit]]/SalesData[[#This Row],[Sales]]</f>
        <v>0.3</v>
      </c>
    </row>
    <row r="831" spans="1:21" x14ac:dyDescent="0.25">
      <c r="A831" t="s">
        <v>1082</v>
      </c>
      <c r="B831" s="1">
        <v>45706</v>
      </c>
      <c r="C831" t="s">
        <v>325</v>
      </c>
      <c r="D831" t="s">
        <v>665</v>
      </c>
      <c r="E831" t="s">
        <v>30</v>
      </c>
      <c r="F831" t="s">
        <v>31</v>
      </c>
      <c r="G831" t="s">
        <v>22</v>
      </c>
      <c r="H831" t="s">
        <v>23</v>
      </c>
      <c r="I831" t="s">
        <v>72</v>
      </c>
      <c r="J831">
        <v>10</v>
      </c>
      <c r="K831">
        <v>800</v>
      </c>
      <c r="L831">
        <v>20</v>
      </c>
      <c r="M831">
        <v>6400</v>
      </c>
      <c r="N831">
        <v>5600</v>
      </c>
      <c r="O831">
        <v>800</v>
      </c>
      <c r="P831" t="s">
        <v>58</v>
      </c>
      <c r="Q831" t="s">
        <v>26</v>
      </c>
      <c r="R831" t="str">
        <f>TEXT(SalesData[[#This Row],[Order Date]],"mmm")</f>
        <v>Feb</v>
      </c>
      <c r="S831" s="2" t="str">
        <f>"Q"&amp;ROUNDUP(MONTH(SalesData[[#This Row],[Order Date]])/3,0)</f>
        <v>Q1</v>
      </c>
      <c r="T831">
        <f>YEAR(SalesData[[#This Row],[Order Date]])</f>
        <v>2025</v>
      </c>
      <c r="U831">
        <f>SalesData[[#This Row],[Profit]]/SalesData[[#This Row],[Sales]]</f>
        <v>0.125</v>
      </c>
    </row>
    <row r="832" spans="1:21" x14ac:dyDescent="0.25">
      <c r="A832" t="s">
        <v>1083</v>
      </c>
      <c r="B832" s="1">
        <v>45938</v>
      </c>
      <c r="C832" t="s">
        <v>268</v>
      </c>
      <c r="D832" t="s">
        <v>499</v>
      </c>
      <c r="E832" t="s">
        <v>70</v>
      </c>
      <c r="F832" t="s">
        <v>71</v>
      </c>
      <c r="G832" t="s">
        <v>22</v>
      </c>
      <c r="H832" t="s">
        <v>23</v>
      </c>
      <c r="I832" t="s">
        <v>53</v>
      </c>
      <c r="J832">
        <v>10</v>
      </c>
      <c r="K832">
        <v>1500</v>
      </c>
      <c r="L832">
        <v>20</v>
      </c>
      <c r="M832">
        <v>12000</v>
      </c>
      <c r="N832">
        <v>10500</v>
      </c>
      <c r="O832">
        <v>1500</v>
      </c>
      <c r="P832" t="s">
        <v>54</v>
      </c>
      <c r="Q832" t="s">
        <v>33</v>
      </c>
      <c r="R832" t="str">
        <f>TEXT(SalesData[[#This Row],[Order Date]],"mmm")</f>
        <v>Oct</v>
      </c>
      <c r="S832" s="2" t="str">
        <f>"Q"&amp;ROUNDUP(MONTH(SalesData[[#This Row],[Order Date]])/3,0)</f>
        <v>Q4</v>
      </c>
      <c r="T832">
        <f>YEAR(SalesData[[#This Row],[Order Date]])</f>
        <v>2025</v>
      </c>
      <c r="U832">
        <f>SalesData[[#This Row],[Profit]]/SalesData[[#This Row],[Sales]]</f>
        <v>0.125</v>
      </c>
    </row>
    <row r="833" spans="1:21" x14ac:dyDescent="0.25">
      <c r="A833" t="s">
        <v>1084</v>
      </c>
      <c r="B833" s="1">
        <v>45841</v>
      </c>
      <c r="C833" t="s">
        <v>448</v>
      </c>
      <c r="D833" t="s">
        <v>342</v>
      </c>
      <c r="E833" t="s">
        <v>37</v>
      </c>
      <c r="F833" t="s">
        <v>38</v>
      </c>
      <c r="G833" t="s">
        <v>22</v>
      </c>
      <c r="H833" t="s">
        <v>32</v>
      </c>
      <c r="I833" t="s">
        <v>80</v>
      </c>
      <c r="J833">
        <v>3</v>
      </c>
      <c r="K833">
        <v>55000</v>
      </c>
      <c r="L833">
        <v>0</v>
      </c>
      <c r="M833">
        <v>165000</v>
      </c>
      <c r="N833">
        <v>115500</v>
      </c>
      <c r="O833">
        <v>49500.000000000007</v>
      </c>
      <c r="P833" t="s">
        <v>25</v>
      </c>
      <c r="Q833" t="s">
        <v>76</v>
      </c>
      <c r="R833" t="str">
        <f>TEXT(SalesData[[#This Row],[Order Date]],"mmm")</f>
        <v>Jul</v>
      </c>
      <c r="S833" s="2" t="str">
        <f>"Q"&amp;ROUNDUP(MONTH(SalesData[[#This Row],[Order Date]])/3,0)</f>
        <v>Q3</v>
      </c>
      <c r="T833">
        <f>YEAR(SalesData[[#This Row],[Order Date]])</f>
        <v>2025</v>
      </c>
      <c r="U833">
        <f>SalesData[[#This Row],[Profit]]/SalesData[[#This Row],[Sales]]</f>
        <v>0.30000000000000004</v>
      </c>
    </row>
    <row r="834" spans="1:21" x14ac:dyDescent="0.25">
      <c r="A834" t="s">
        <v>1085</v>
      </c>
      <c r="B834" s="1">
        <v>46019</v>
      </c>
      <c r="C834" t="s">
        <v>173</v>
      </c>
      <c r="D834" t="s">
        <v>136</v>
      </c>
      <c r="E834" t="s">
        <v>44</v>
      </c>
      <c r="F834" t="s">
        <v>45</v>
      </c>
      <c r="G834" t="s">
        <v>22</v>
      </c>
      <c r="H834" t="s">
        <v>32</v>
      </c>
      <c r="I834" t="s">
        <v>53</v>
      </c>
      <c r="J834">
        <v>4</v>
      </c>
      <c r="K834">
        <v>9500</v>
      </c>
      <c r="L834">
        <v>15</v>
      </c>
      <c r="M834">
        <v>32300</v>
      </c>
      <c r="N834">
        <v>26600</v>
      </c>
      <c r="O834">
        <v>5700</v>
      </c>
      <c r="P834" t="s">
        <v>58</v>
      </c>
      <c r="Q834" t="s">
        <v>26</v>
      </c>
      <c r="R834" t="str">
        <f>TEXT(SalesData[[#This Row],[Order Date]],"mmm")</f>
        <v>Dec</v>
      </c>
      <c r="S834" s="2" t="str">
        <f>"Q"&amp;ROUNDUP(MONTH(SalesData[[#This Row],[Order Date]])/3,0)</f>
        <v>Q4</v>
      </c>
      <c r="T834">
        <f>YEAR(SalesData[[#This Row],[Order Date]])</f>
        <v>2025</v>
      </c>
      <c r="U834">
        <f>SalesData[[#This Row],[Profit]]/SalesData[[#This Row],[Sales]]</f>
        <v>0.17647058823529413</v>
      </c>
    </row>
    <row r="835" spans="1:21" x14ac:dyDescent="0.25">
      <c r="A835" t="s">
        <v>1086</v>
      </c>
      <c r="B835" s="1">
        <v>45980</v>
      </c>
      <c r="C835" t="s">
        <v>381</v>
      </c>
      <c r="D835" t="s">
        <v>166</v>
      </c>
      <c r="E835" t="s">
        <v>30</v>
      </c>
      <c r="F835" t="s">
        <v>31</v>
      </c>
      <c r="G835" t="s">
        <v>22</v>
      </c>
      <c r="H835" t="s">
        <v>65</v>
      </c>
      <c r="I835" t="s">
        <v>66</v>
      </c>
      <c r="J835">
        <v>4</v>
      </c>
      <c r="K835">
        <v>800</v>
      </c>
      <c r="L835">
        <v>20</v>
      </c>
      <c r="M835">
        <v>2560</v>
      </c>
      <c r="N835">
        <v>2240</v>
      </c>
      <c r="O835">
        <v>320</v>
      </c>
      <c r="P835" t="s">
        <v>25</v>
      </c>
      <c r="Q835" t="s">
        <v>26</v>
      </c>
      <c r="R835" t="str">
        <f>TEXT(SalesData[[#This Row],[Order Date]],"mmm")</f>
        <v>Nov</v>
      </c>
      <c r="S835" s="2" t="str">
        <f>"Q"&amp;ROUNDUP(MONTH(SalesData[[#This Row],[Order Date]])/3,0)</f>
        <v>Q4</v>
      </c>
      <c r="T835">
        <f>YEAR(SalesData[[#This Row],[Order Date]])</f>
        <v>2025</v>
      </c>
      <c r="U835">
        <f>SalesData[[#This Row],[Profit]]/SalesData[[#This Row],[Sales]]</f>
        <v>0.125</v>
      </c>
    </row>
    <row r="836" spans="1:21" x14ac:dyDescent="0.25">
      <c r="A836" t="s">
        <v>1087</v>
      </c>
      <c r="B836" s="1">
        <v>45695</v>
      </c>
      <c r="C836" t="s">
        <v>376</v>
      </c>
      <c r="D836" t="s">
        <v>278</v>
      </c>
      <c r="E836" t="s">
        <v>37</v>
      </c>
      <c r="F836" t="s">
        <v>38</v>
      </c>
      <c r="G836" t="s">
        <v>22</v>
      </c>
      <c r="H836" t="s">
        <v>23</v>
      </c>
      <c r="I836" t="s">
        <v>39</v>
      </c>
      <c r="J836">
        <v>1</v>
      </c>
      <c r="K836">
        <v>55000</v>
      </c>
      <c r="L836">
        <v>10</v>
      </c>
      <c r="M836">
        <v>49500</v>
      </c>
      <c r="N836">
        <v>38500</v>
      </c>
      <c r="O836">
        <v>11000</v>
      </c>
      <c r="P836" t="s">
        <v>25</v>
      </c>
      <c r="Q836" t="s">
        <v>33</v>
      </c>
      <c r="R836" t="str">
        <f>TEXT(SalesData[[#This Row],[Order Date]],"mmm")</f>
        <v>Feb</v>
      </c>
      <c r="S836" s="2" t="str">
        <f>"Q"&amp;ROUNDUP(MONTH(SalesData[[#This Row],[Order Date]])/3,0)</f>
        <v>Q1</v>
      </c>
      <c r="T836">
        <f>YEAR(SalesData[[#This Row],[Order Date]])</f>
        <v>2025</v>
      </c>
      <c r="U836">
        <f>SalesData[[#This Row],[Profit]]/SalesData[[#This Row],[Sales]]</f>
        <v>0.22222222222222221</v>
      </c>
    </row>
    <row r="837" spans="1:21" x14ac:dyDescent="0.25">
      <c r="A837" t="s">
        <v>1088</v>
      </c>
      <c r="B837" s="1">
        <v>45802</v>
      </c>
      <c r="C837" t="s">
        <v>469</v>
      </c>
      <c r="D837" t="s">
        <v>502</v>
      </c>
      <c r="E837" t="s">
        <v>93</v>
      </c>
      <c r="F837" t="s">
        <v>94</v>
      </c>
      <c r="G837" t="s">
        <v>64</v>
      </c>
      <c r="H837" t="s">
        <v>32</v>
      </c>
      <c r="I837" t="s">
        <v>80</v>
      </c>
      <c r="J837">
        <v>9</v>
      </c>
      <c r="K837">
        <v>4500</v>
      </c>
      <c r="L837">
        <v>10</v>
      </c>
      <c r="M837">
        <v>36450</v>
      </c>
      <c r="N837">
        <v>28350</v>
      </c>
      <c r="O837">
        <v>8100</v>
      </c>
      <c r="P837" t="s">
        <v>54</v>
      </c>
      <c r="Q837" t="s">
        <v>76</v>
      </c>
      <c r="R837" t="str">
        <f>TEXT(SalesData[[#This Row],[Order Date]],"mmm")</f>
        <v>May</v>
      </c>
      <c r="S837" s="2" t="str">
        <f>"Q"&amp;ROUNDUP(MONTH(SalesData[[#This Row],[Order Date]])/3,0)</f>
        <v>Q2</v>
      </c>
      <c r="T837">
        <f>YEAR(SalesData[[#This Row],[Order Date]])</f>
        <v>2025</v>
      </c>
      <c r="U837">
        <f>SalesData[[#This Row],[Profit]]/SalesData[[#This Row],[Sales]]</f>
        <v>0.22222222222222221</v>
      </c>
    </row>
    <row r="838" spans="1:21" x14ac:dyDescent="0.25">
      <c r="A838" t="s">
        <v>1089</v>
      </c>
      <c r="B838" s="1">
        <v>46020</v>
      </c>
      <c r="C838" t="s">
        <v>613</v>
      </c>
      <c r="D838" t="s">
        <v>275</v>
      </c>
      <c r="E838" t="s">
        <v>20</v>
      </c>
      <c r="F838" t="s">
        <v>21</v>
      </c>
      <c r="G838" t="s">
        <v>22</v>
      </c>
      <c r="H838" t="s">
        <v>23</v>
      </c>
      <c r="I838" t="s">
        <v>80</v>
      </c>
      <c r="J838">
        <v>8</v>
      </c>
      <c r="K838">
        <v>3500</v>
      </c>
      <c r="L838">
        <v>5</v>
      </c>
      <c r="M838">
        <v>26600</v>
      </c>
      <c r="N838">
        <v>19600</v>
      </c>
      <c r="O838">
        <v>7000</v>
      </c>
      <c r="P838" t="s">
        <v>40</v>
      </c>
      <c r="Q838" t="s">
        <v>76</v>
      </c>
      <c r="R838" t="str">
        <f>TEXT(SalesData[[#This Row],[Order Date]],"mmm")</f>
        <v>Dec</v>
      </c>
      <c r="S838" s="2" t="str">
        <f>"Q"&amp;ROUNDUP(MONTH(SalesData[[#This Row],[Order Date]])/3,0)</f>
        <v>Q4</v>
      </c>
      <c r="T838">
        <f>YEAR(SalesData[[#This Row],[Order Date]])</f>
        <v>2025</v>
      </c>
      <c r="U838">
        <f>SalesData[[#This Row],[Profit]]/SalesData[[#This Row],[Sales]]</f>
        <v>0.26315789473684209</v>
      </c>
    </row>
    <row r="839" spans="1:21" x14ac:dyDescent="0.25">
      <c r="A839" t="s">
        <v>1090</v>
      </c>
      <c r="B839" s="1">
        <v>45951</v>
      </c>
      <c r="C839" t="s">
        <v>42</v>
      </c>
      <c r="D839" t="s">
        <v>258</v>
      </c>
      <c r="E839" t="s">
        <v>20</v>
      </c>
      <c r="F839" t="s">
        <v>21</v>
      </c>
      <c r="G839" t="s">
        <v>22</v>
      </c>
      <c r="H839" t="s">
        <v>32</v>
      </c>
      <c r="I839" t="s">
        <v>53</v>
      </c>
      <c r="J839">
        <v>6</v>
      </c>
      <c r="K839">
        <v>3500</v>
      </c>
      <c r="L839">
        <v>0</v>
      </c>
      <c r="M839">
        <v>21000</v>
      </c>
      <c r="N839">
        <v>14700</v>
      </c>
      <c r="O839">
        <v>6300.0000000000018</v>
      </c>
      <c r="P839" t="s">
        <v>25</v>
      </c>
      <c r="Q839" t="s">
        <v>26</v>
      </c>
      <c r="R839" t="str">
        <f>TEXT(SalesData[[#This Row],[Order Date]],"mmm")</f>
        <v>Oct</v>
      </c>
      <c r="S839" s="2" t="str">
        <f>"Q"&amp;ROUNDUP(MONTH(SalesData[[#This Row],[Order Date]])/3,0)</f>
        <v>Q4</v>
      </c>
      <c r="T839">
        <f>YEAR(SalesData[[#This Row],[Order Date]])</f>
        <v>2025</v>
      </c>
      <c r="U839">
        <f>SalesData[[#This Row],[Profit]]/SalesData[[#This Row],[Sales]]</f>
        <v>0.3000000000000001</v>
      </c>
    </row>
    <row r="840" spans="1:21" x14ac:dyDescent="0.25">
      <c r="A840" t="s">
        <v>1091</v>
      </c>
      <c r="B840" s="1">
        <v>45869</v>
      </c>
      <c r="C840" t="s">
        <v>348</v>
      </c>
      <c r="D840" t="s">
        <v>113</v>
      </c>
      <c r="E840" t="s">
        <v>70</v>
      </c>
      <c r="F840" t="s">
        <v>71</v>
      </c>
      <c r="G840" t="s">
        <v>22</v>
      </c>
      <c r="H840" t="s">
        <v>65</v>
      </c>
      <c r="I840" t="s">
        <v>80</v>
      </c>
      <c r="J840">
        <v>1</v>
      </c>
      <c r="K840">
        <v>1500</v>
      </c>
      <c r="L840">
        <v>0</v>
      </c>
      <c r="M840">
        <v>1500</v>
      </c>
      <c r="N840">
        <v>1050</v>
      </c>
      <c r="O840">
        <v>450</v>
      </c>
      <c r="P840" t="s">
        <v>58</v>
      </c>
      <c r="Q840" t="s">
        <v>33</v>
      </c>
      <c r="R840" t="str">
        <f>TEXT(SalesData[[#This Row],[Order Date]],"mmm")</f>
        <v>Jul</v>
      </c>
      <c r="S840" s="2" t="str">
        <f>"Q"&amp;ROUNDUP(MONTH(SalesData[[#This Row],[Order Date]])/3,0)</f>
        <v>Q3</v>
      </c>
      <c r="T840">
        <f>YEAR(SalesData[[#This Row],[Order Date]])</f>
        <v>2025</v>
      </c>
      <c r="U840">
        <f>SalesData[[#This Row],[Profit]]/SalesData[[#This Row],[Sales]]</f>
        <v>0.3</v>
      </c>
    </row>
    <row r="841" spans="1:21" x14ac:dyDescent="0.25">
      <c r="A841" t="s">
        <v>1092</v>
      </c>
      <c r="B841" s="1">
        <v>45730</v>
      </c>
      <c r="C841" t="s">
        <v>182</v>
      </c>
      <c r="D841" t="s">
        <v>336</v>
      </c>
      <c r="E841" t="s">
        <v>70</v>
      </c>
      <c r="F841" t="s">
        <v>71</v>
      </c>
      <c r="G841" t="s">
        <v>22</v>
      </c>
      <c r="H841" t="s">
        <v>32</v>
      </c>
      <c r="I841" t="s">
        <v>39</v>
      </c>
      <c r="J841">
        <v>3</v>
      </c>
      <c r="K841">
        <v>1500</v>
      </c>
      <c r="L841">
        <v>5</v>
      </c>
      <c r="M841">
        <v>4275</v>
      </c>
      <c r="N841">
        <v>3150</v>
      </c>
      <c r="O841">
        <v>1125</v>
      </c>
      <c r="P841" t="s">
        <v>58</v>
      </c>
      <c r="Q841" t="s">
        <v>26</v>
      </c>
      <c r="R841" t="str">
        <f>TEXT(SalesData[[#This Row],[Order Date]],"mmm")</f>
        <v>Mar</v>
      </c>
      <c r="S841" s="2" t="str">
        <f>"Q"&amp;ROUNDUP(MONTH(SalesData[[#This Row],[Order Date]])/3,0)</f>
        <v>Q1</v>
      </c>
      <c r="T841">
        <f>YEAR(SalesData[[#This Row],[Order Date]])</f>
        <v>2025</v>
      </c>
      <c r="U841">
        <f>SalesData[[#This Row],[Profit]]/SalesData[[#This Row],[Sales]]</f>
        <v>0.26315789473684209</v>
      </c>
    </row>
    <row r="842" spans="1:21" x14ac:dyDescent="0.25">
      <c r="A842" t="s">
        <v>1093</v>
      </c>
      <c r="B842" s="1">
        <v>45670</v>
      </c>
      <c r="C842" t="s">
        <v>370</v>
      </c>
      <c r="D842" t="s">
        <v>446</v>
      </c>
      <c r="E842" t="s">
        <v>37</v>
      </c>
      <c r="F842" t="s">
        <v>38</v>
      </c>
      <c r="G842" t="s">
        <v>22</v>
      </c>
      <c r="H842" t="s">
        <v>65</v>
      </c>
      <c r="I842" t="s">
        <v>24</v>
      </c>
      <c r="J842">
        <v>9</v>
      </c>
      <c r="K842">
        <v>55000</v>
      </c>
      <c r="L842">
        <v>0</v>
      </c>
      <c r="M842">
        <v>495000</v>
      </c>
      <c r="N842">
        <v>346500</v>
      </c>
      <c r="O842">
        <v>148500</v>
      </c>
      <c r="P842" t="s">
        <v>25</v>
      </c>
      <c r="Q842" t="s">
        <v>76</v>
      </c>
      <c r="R842" t="str">
        <f>TEXT(SalesData[[#This Row],[Order Date]],"mmm")</f>
        <v>Jan</v>
      </c>
      <c r="S842" s="2" t="str">
        <f>"Q"&amp;ROUNDUP(MONTH(SalesData[[#This Row],[Order Date]])/3,0)</f>
        <v>Q1</v>
      </c>
      <c r="T842">
        <f>YEAR(SalesData[[#This Row],[Order Date]])</f>
        <v>2025</v>
      </c>
      <c r="U842">
        <f>SalesData[[#This Row],[Profit]]/SalesData[[#This Row],[Sales]]</f>
        <v>0.3</v>
      </c>
    </row>
    <row r="843" spans="1:21" x14ac:dyDescent="0.25">
      <c r="A843" t="s">
        <v>1094</v>
      </c>
      <c r="B843" s="1">
        <v>45727</v>
      </c>
      <c r="C843" t="s">
        <v>323</v>
      </c>
      <c r="D843" t="s">
        <v>113</v>
      </c>
      <c r="E843" t="s">
        <v>62</v>
      </c>
      <c r="F843" t="s">
        <v>63</v>
      </c>
      <c r="G843" t="s">
        <v>64</v>
      </c>
      <c r="H843" t="s">
        <v>65</v>
      </c>
      <c r="I843" t="s">
        <v>53</v>
      </c>
      <c r="J843">
        <v>10</v>
      </c>
      <c r="K843">
        <v>8500</v>
      </c>
      <c r="L843">
        <v>20</v>
      </c>
      <c r="M843">
        <v>68000</v>
      </c>
      <c r="N843">
        <v>59499.999999999993</v>
      </c>
      <c r="O843">
        <v>8500.0000000000073</v>
      </c>
      <c r="P843" t="s">
        <v>58</v>
      </c>
      <c r="Q843" t="s">
        <v>33</v>
      </c>
      <c r="R843" t="str">
        <f>TEXT(SalesData[[#This Row],[Order Date]],"mmm")</f>
        <v>Mar</v>
      </c>
      <c r="S843" s="2" t="str">
        <f>"Q"&amp;ROUNDUP(MONTH(SalesData[[#This Row],[Order Date]])/3,0)</f>
        <v>Q1</v>
      </c>
      <c r="T843">
        <f>YEAR(SalesData[[#This Row],[Order Date]])</f>
        <v>2025</v>
      </c>
      <c r="U843">
        <f>SalesData[[#This Row],[Profit]]/SalesData[[#This Row],[Sales]]</f>
        <v>0.12500000000000011</v>
      </c>
    </row>
    <row r="844" spans="1:21" x14ac:dyDescent="0.25">
      <c r="A844" t="s">
        <v>1095</v>
      </c>
      <c r="B844" s="1">
        <v>45912</v>
      </c>
      <c r="C844" t="s">
        <v>198</v>
      </c>
      <c r="D844" t="s">
        <v>874</v>
      </c>
      <c r="E844" t="s">
        <v>50</v>
      </c>
      <c r="F844" t="s">
        <v>51</v>
      </c>
      <c r="G844" t="s">
        <v>52</v>
      </c>
      <c r="H844" t="s">
        <v>23</v>
      </c>
      <c r="I844" t="s">
        <v>39</v>
      </c>
      <c r="J844">
        <v>4</v>
      </c>
      <c r="K844">
        <v>3200</v>
      </c>
      <c r="L844">
        <v>15</v>
      </c>
      <c r="M844">
        <v>10880</v>
      </c>
      <c r="N844">
        <v>8960</v>
      </c>
      <c r="O844">
        <v>1920</v>
      </c>
      <c r="P844" t="s">
        <v>25</v>
      </c>
      <c r="Q844" t="s">
        <v>76</v>
      </c>
      <c r="R844" t="str">
        <f>TEXT(SalesData[[#This Row],[Order Date]],"mmm")</f>
        <v>Sep</v>
      </c>
      <c r="S844" s="2" t="str">
        <f>"Q"&amp;ROUNDUP(MONTH(SalesData[[#This Row],[Order Date]])/3,0)</f>
        <v>Q3</v>
      </c>
      <c r="T844">
        <f>YEAR(SalesData[[#This Row],[Order Date]])</f>
        <v>2025</v>
      </c>
      <c r="U844">
        <f>SalesData[[#This Row],[Profit]]/SalesData[[#This Row],[Sales]]</f>
        <v>0.17647058823529413</v>
      </c>
    </row>
    <row r="845" spans="1:21" x14ac:dyDescent="0.25">
      <c r="A845" t="s">
        <v>1096</v>
      </c>
      <c r="B845" s="1">
        <v>46018</v>
      </c>
      <c r="C845" t="s">
        <v>232</v>
      </c>
      <c r="D845" t="s">
        <v>505</v>
      </c>
      <c r="E845" t="s">
        <v>44</v>
      </c>
      <c r="F845" t="s">
        <v>45</v>
      </c>
      <c r="G845" t="s">
        <v>22</v>
      </c>
      <c r="H845" t="s">
        <v>32</v>
      </c>
      <c r="I845" t="s">
        <v>24</v>
      </c>
      <c r="J845">
        <v>3</v>
      </c>
      <c r="K845">
        <v>9500</v>
      </c>
      <c r="L845">
        <v>10</v>
      </c>
      <c r="M845">
        <v>25650</v>
      </c>
      <c r="N845">
        <v>19950</v>
      </c>
      <c r="O845">
        <v>5700</v>
      </c>
      <c r="P845" t="s">
        <v>25</v>
      </c>
      <c r="Q845" t="s">
        <v>33</v>
      </c>
      <c r="R845" t="str">
        <f>TEXT(SalesData[[#This Row],[Order Date]],"mmm")</f>
        <v>Dec</v>
      </c>
      <c r="S845" s="2" t="str">
        <f>"Q"&amp;ROUNDUP(MONTH(SalesData[[#This Row],[Order Date]])/3,0)</f>
        <v>Q4</v>
      </c>
      <c r="T845">
        <f>YEAR(SalesData[[#This Row],[Order Date]])</f>
        <v>2025</v>
      </c>
      <c r="U845">
        <f>SalesData[[#This Row],[Profit]]/SalesData[[#This Row],[Sales]]</f>
        <v>0.22222222222222221</v>
      </c>
    </row>
    <row r="846" spans="1:21" x14ac:dyDescent="0.25">
      <c r="A846" t="s">
        <v>1097</v>
      </c>
      <c r="B846" s="1">
        <v>45801</v>
      </c>
      <c r="C846" t="s">
        <v>315</v>
      </c>
      <c r="D846" t="s">
        <v>391</v>
      </c>
      <c r="E846" t="s">
        <v>30</v>
      </c>
      <c r="F846" t="s">
        <v>31</v>
      </c>
      <c r="G846" t="s">
        <v>22</v>
      </c>
      <c r="H846" t="s">
        <v>23</v>
      </c>
      <c r="I846" t="s">
        <v>72</v>
      </c>
      <c r="J846">
        <v>8</v>
      </c>
      <c r="K846">
        <v>800</v>
      </c>
      <c r="L846">
        <v>15</v>
      </c>
      <c r="M846">
        <v>5440</v>
      </c>
      <c r="N846">
        <v>4480</v>
      </c>
      <c r="O846">
        <v>960</v>
      </c>
      <c r="P846" t="s">
        <v>58</v>
      </c>
      <c r="Q846" t="s">
        <v>33</v>
      </c>
      <c r="R846" t="str">
        <f>TEXT(SalesData[[#This Row],[Order Date]],"mmm")</f>
        <v>May</v>
      </c>
      <c r="S846" s="2" t="str">
        <f>"Q"&amp;ROUNDUP(MONTH(SalesData[[#This Row],[Order Date]])/3,0)</f>
        <v>Q2</v>
      </c>
      <c r="T846">
        <f>YEAR(SalesData[[#This Row],[Order Date]])</f>
        <v>2025</v>
      </c>
      <c r="U846">
        <f>SalesData[[#This Row],[Profit]]/SalesData[[#This Row],[Sales]]</f>
        <v>0.17647058823529413</v>
      </c>
    </row>
    <row r="847" spans="1:21" x14ac:dyDescent="0.25">
      <c r="A847" t="s">
        <v>1098</v>
      </c>
      <c r="B847" s="1">
        <v>45929</v>
      </c>
      <c r="C847" t="s">
        <v>250</v>
      </c>
      <c r="D847" t="s">
        <v>130</v>
      </c>
      <c r="E847" t="s">
        <v>44</v>
      </c>
      <c r="F847" t="s">
        <v>45</v>
      </c>
      <c r="G847" t="s">
        <v>22</v>
      </c>
      <c r="H847" t="s">
        <v>65</v>
      </c>
      <c r="I847" t="s">
        <v>53</v>
      </c>
      <c r="J847">
        <v>7</v>
      </c>
      <c r="K847">
        <v>9500</v>
      </c>
      <c r="L847">
        <v>15</v>
      </c>
      <c r="M847">
        <v>56525</v>
      </c>
      <c r="N847">
        <v>46550</v>
      </c>
      <c r="O847">
        <v>9975</v>
      </c>
      <c r="P847" t="s">
        <v>58</v>
      </c>
      <c r="Q847" t="s">
        <v>33</v>
      </c>
      <c r="R847" t="str">
        <f>TEXT(SalesData[[#This Row],[Order Date]],"mmm")</f>
        <v>Sep</v>
      </c>
      <c r="S847" s="2" t="str">
        <f>"Q"&amp;ROUNDUP(MONTH(SalesData[[#This Row],[Order Date]])/3,0)</f>
        <v>Q3</v>
      </c>
      <c r="T847">
        <f>YEAR(SalesData[[#This Row],[Order Date]])</f>
        <v>2025</v>
      </c>
      <c r="U847">
        <f>SalesData[[#This Row],[Profit]]/SalesData[[#This Row],[Sales]]</f>
        <v>0.17647058823529413</v>
      </c>
    </row>
    <row r="848" spans="1:21" x14ac:dyDescent="0.25">
      <c r="A848" t="s">
        <v>1099</v>
      </c>
      <c r="B848" s="1">
        <v>45689</v>
      </c>
      <c r="C848" t="s">
        <v>132</v>
      </c>
      <c r="D848" t="s">
        <v>317</v>
      </c>
      <c r="E848" t="s">
        <v>50</v>
      </c>
      <c r="F848" t="s">
        <v>51</v>
      </c>
      <c r="G848" t="s">
        <v>52</v>
      </c>
      <c r="H848" t="s">
        <v>32</v>
      </c>
      <c r="I848" t="s">
        <v>80</v>
      </c>
      <c r="J848">
        <v>7</v>
      </c>
      <c r="K848">
        <v>3200</v>
      </c>
      <c r="L848">
        <v>20</v>
      </c>
      <c r="M848">
        <v>17920</v>
      </c>
      <c r="N848">
        <v>15680</v>
      </c>
      <c r="O848">
        <v>2240.0000000000018</v>
      </c>
      <c r="P848" t="s">
        <v>54</v>
      </c>
      <c r="Q848" t="s">
        <v>76</v>
      </c>
      <c r="R848" t="str">
        <f>TEXT(SalesData[[#This Row],[Order Date]],"mmm")</f>
        <v>Feb</v>
      </c>
      <c r="S848" s="2" t="str">
        <f>"Q"&amp;ROUNDUP(MONTH(SalesData[[#This Row],[Order Date]])/3,0)</f>
        <v>Q1</v>
      </c>
      <c r="T848">
        <f>YEAR(SalesData[[#This Row],[Order Date]])</f>
        <v>2025</v>
      </c>
      <c r="U848">
        <f>SalesData[[#This Row],[Profit]]/SalesData[[#This Row],[Sales]]</f>
        <v>0.12500000000000011</v>
      </c>
    </row>
    <row r="849" spans="1:21" x14ac:dyDescent="0.25">
      <c r="A849" t="s">
        <v>1100</v>
      </c>
      <c r="B849" s="1">
        <v>45763</v>
      </c>
      <c r="C849" t="s">
        <v>28</v>
      </c>
      <c r="D849" t="s">
        <v>89</v>
      </c>
      <c r="E849" t="s">
        <v>37</v>
      </c>
      <c r="F849" t="s">
        <v>38</v>
      </c>
      <c r="G849" t="s">
        <v>22</v>
      </c>
      <c r="H849" t="s">
        <v>23</v>
      </c>
      <c r="I849" t="s">
        <v>24</v>
      </c>
      <c r="J849">
        <v>6</v>
      </c>
      <c r="K849">
        <v>55000</v>
      </c>
      <c r="L849">
        <v>20</v>
      </c>
      <c r="M849">
        <v>264000</v>
      </c>
      <c r="N849">
        <v>231000</v>
      </c>
      <c r="O849">
        <v>33000.000000000029</v>
      </c>
      <c r="P849" t="s">
        <v>58</v>
      </c>
      <c r="Q849" t="s">
        <v>76</v>
      </c>
      <c r="R849" t="str">
        <f>TEXT(SalesData[[#This Row],[Order Date]],"mmm")</f>
        <v>Apr</v>
      </c>
      <c r="S849" s="2" t="str">
        <f>"Q"&amp;ROUNDUP(MONTH(SalesData[[#This Row],[Order Date]])/3,0)</f>
        <v>Q2</v>
      </c>
      <c r="T849">
        <f>YEAR(SalesData[[#This Row],[Order Date]])</f>
        <v>2025</v>
      </c>
      <c r="U849">
        <f>SalesData[[#This Row],[Profit]]/SalesData[[#This Row],[Sales]]</f>
        <v>0.12500000000000011</v>
      </c>
    </row>
    <row r="850" spans="1:21" x14ac:dyDescent="0.25">
      <c r="A850" t="s">
        <v>1101</v>
      </c>
      <c r="B850" s="1">
        <v>45734</v>
      </c>
      <c r="C850" t="s">
        <v>234</v>
      </c>
      <c r="D850" t="s">
        <v>49</v>
      </c>
      <c r="E850" t="s">
        <v>20</v>
      </c>
      <c r="F850" t="s">
        <v>21</v>
      </c>
      <c r="G850" t="s">
        <v>22</v>
      </c>
      <c r="H850" t="s">
        <v>32</v>
      </c>
      <c r="I850" t="s">
        <v>80</v>
      </c>
      <c r="J850">
        <v>9</v>
      </c>
      <c r="K850">
        <v>3500</v>
      </c>
      <c r="L850">
        <v>20</v>
      </c>
      <c r="M850">
        <v>25200</v>
      </c>
      <c r="N850">
        <v>22050</v>
      </c>
      <c r="O850">
        <v>3150</v>
      </c>
      <c r="P850" t="s">
        <v>25</v>
      </c>
      <c r="Q850" t="s">
        <v>76</v>
      </c>
      <c r="R850" t="str">
        <f>TEXT(SalesData[[#This Row],[Order Date]],"mmm")</f>
        <v>Mar</v>
      </c>
      <c r="S850" s="2" t="str">
        <f>"Q"&amp;ROUNDUP(MONTH(SalesData[[#This Row],[Order Date]])/3,0)</f>
        <v>Q1</v>
      </c>
      <c r="T850">
        <f>YEAR(SalesData[[#This Row],[Order Date]])</f>
        <v>2025</v>
      </c>
      <c r="U850">
        <f>SalesData[[#This Row],[Profit]]/SalesData[[#This Row],[Sales]]</f>
        <v>0.125</v>
      </c>
    </row>
    <row r="851" spans="1:21" x14ac:dyDescent="0.25">
      <c r="A851" t="s">
        <v>1102</v>
      </c>
      <c r="B851" s="1">
        <v>45716</v>
      </c>
      <c r="C851" t="s">
        <v>163</v>
      </c>
      <c r="D851" t="s">
        <v>153</v>
      </c>
      <c r="E851" t="s">
        <v>62</v>
      </c>
      <c r="F851" t="s">
        <v>63</v>
      </c>
      <c r="G851" t="s">
        <v>64</v>
      </c>
      <c r="H851" t="s">
        <v>32</v>
      </c>
      <c r="I851" t="s">
        <v>72</v>
      </c>
      <c r="J851">
        <v>4</v>
      </c>
      <c r="K851">
        <v>8500</v>
      </c>
      <c r="L851">
        <v>10</v>
      </c>
      <c r="M851">
        <v>30600</v>
      </c>
      <c r="N851">
        <v>23800</v>
      </c>
      <c r="O851">
        <v>6800</v>
      </c>
      <c r="P851" t="s">
        <v>54</v>
      </c>
      <c r="Q851" t="s">
        <v>33</v>
      </c>
      <c r="R851" t="str">
        <f>TEXT(SalesData[[#This Row],[Order Date]],"mmm")</f>
        <v>Feb</v>
      </c>
      <c r="S851" s="2" t="str">
        <f>"Q"&amp;ROUNDUP(MONTH(SalesData[[#This Row],[Order Date]])/3,0)</f>
        <v>Q1</v>
      </c>
      <c r="T851">
        <f>YEAR(SalesData[[#This Row],[Order Date]])</f>
        <v>2025</v>
      </c>
      <c r="U851">
        <f>SalesData[[#This Row],[Profit]]/SalesData[[#This Row],[Sales]]</f>
        <v>0.22222222222222221</v>
      </c>
    </row>
    <row r="852" spans="1:21" x14ac:dyDescent="0.25">
      <c r="A852" t="s">
        <v>1103</v>
      </c>
      <c r="B852" s="1">
        <v>45841</v>
      </c>
      <c r="C852" t="s">
        <v>435</v>
      </c>
      <c r="D852" t="s">
        <v>275</v>
      </c>
      <c r="E852" t="s">
        <v>20</v>
      </c>
      <c r="F852" t="s">
        <v>21</v>
      </c>
      <c r="G852" t="s">
        <v>22</v>
      </c>
      <c r="H852" t="s">
        <v>23</v>
      </c>
      <c r="I852" t="s">
        <v>72</v>
      </c>
      <c r="J852">
        <v>5</v>
      </c>
      <c r="K852">
        <v>3500</v>
      </c>
      <c r="L852">
        <v>15</v>
      </c>
      <c r="M852">
        <v>14875</v>
      </c>
      <c r="N852">
        <v>12250</v>
      </c>
      <c r="O852">
        <v>2625</v>
      </c>
      <c r="P852" t="s">
        <v>25</v>
      </c>
      <c r="Q852" t="s">
        <v>33</v>
      </c>
      <c r="R852" t="str">
        <f>TEXT(SalesData[[#This Row],[Order Date]],"mmm")</f>
        <v>Jul</v>
      </c>
      <c r="S852" s="2" t="str">
        <f>"Q"&amp;ROUNDUP(MONTH(SalesData[[#This Row],[Order Date]])/3,0)</f>
        <v>Q3</v>
      </c>
      <c r="T852">
        <f>YEAR(SalesData[[#This Row],[Order Date]])</f>
        <v>2025</v>
      </c>
      <c r="U852">
        <f>SalesData[[#This Row],[Profit]]/SalesData[[#This Row],[Sales]]</f>
        <v>0.17647058823529413</v>
      </c>
    </row>
    <row r="853" spans="1:21" x14ac:dyDescent="0.25">
      <c r="A853" t="s">
        <v>1104</v>
      </c>
      <c r="B853" s="1">
        <v>45795</v>
      </c>
      <c r="C853" t="s">
        <v>323</v>
      </c>
      <c r="D853" t="s">
        <v>338</v>
      </c>
      <c r="E853" t="s">
        <v>50</v>
      </c>
      <c r="F853" t="s">
        <v>51</v>
      </c>
      <c r="G853" t="s">
        <v>52</v>
      </c>
      <c r="H853" t="s">
        <v>32</v>
      </c>
      <c r="I853" t="s">
        <v>39</v>
      </c>
      <c r="J853">
        <v>7</v>
      </c>
      <c r="K853">
        <v>3200</v>
      </c>
      <c r="L853">
        <v>15</v>
      </c>
      <c r="M853">
        <v>19040</v>
      </c>
      <c r="N853">
        <v>15680</v>
      </c>
      <c r="O853">
        <v>3360.0000000000018</v>
      </c>
      <c r="P853" t="s">
        <v>40</v>
      </c>
      <c r="Q853" t="s">
        <v>33</v>
      </c>
      <c r="R853" t="str">
        <f>TEXT(SalesData[[#This Row],[Order Date]],"mmm")</f>
        <v>May</v>
      </c>
      <c r="S853" s="2" t="str">
        <f>"Q"&amp;ROUNDUP(MONTH(SalesData[[#This Row],[Order Date]])/3,0)</f>
        <v>Q2</v>
      </c>
      <c r="T853">
        <f>YEAR(SalesData[[#This Row],[Order Date]])</f>
        <v>2025</v>
      </c>
      <c r="U853">
        <f>SalesData[[#This Row],[Profit]]/SalesData[[#This Row],[Sales]]</f>
        <v>0.17647058823529421</v>
      </c>
    </row>
    <row r="854" spans="1:21" x14ac:dyDescent="0.25">
      <c r="A854" t="s">
        <v>1105</v>
      </c>
      <c r="B854" s="1">
        <v>45942</v>
      </c>
      <c r="C854" t="s">
        <v>348</v>
      </c>
      <c r="D854" t="s">
        <v>19</v>
      </c>
      <c r="E854" t="s">
        <v>50</v>
      </c>
      <c r="F854" t="s">
        <v>51</v>
      </c>
      <c r="G854" t="s">
        <v>52</v>
      </c>
      <c r="H854" t="s">
        <v>65</v>
      </c>
      <c r="I854" t="s">
        <v>39</v>
      </c>
      <c r="J854">
        <v>2</v>
      </c>
      <c r="K854">
        <v>3200</v>
      </c>
      <c r="L854">
        <v>10</v>
      </c>
      <c r="M854">
        <v>5760</v>
      </c>
      <c r="N854">
        <v>4480</v>
      </c>
      <c r="O854">
        <v>1280</v>
      </c>
      <c r="P854" t="s">
        <v>40</v>
      </c>
      <c r="Q854" t="s">
        <v>76</v>
      </c>
      <c r="R854" t="str">
        <f>TEXT(SalesData[[#This Row],[Order Date]],"mmm")</f>
        <v>Oct</v>
      </c>
      <c r="S854" s="2" t="str">
        <f>"Q"&amp;ROUNDUP(MONTH(SalesData[[#This Row],[Order Date]])/3,0)</f>
        <v>Q4</v>
      </c>
      <c r="T854">
        <f>YEAR(SalesData[[#This Row],[Order Date]])</f>
        <v>2025</v>
      </c>
      <c r="U854">
        <f>SalesData[[#This Row],[Profit]]/SalesData[[#This Row],[Sales]]</f>
        <v>0.22222222222222221</v>
      </c>
    </row>
    <row r="855" spans="1:21" x14ac:dyDescent="0.25">
      <c r="A855" t="s">
        <v>1106</v>
      </c>
      <c r="B855" s="1">
        <v>45840</v>
      </c>
      <c r="C855" t="s">
        <v>132</v>
      </c>
      <c r="D855" t="s">
        <v>329</v>
      </c>
      <c r="E855" t="s">
        <v>30</v>
      </c>
      <c r="F855" t="s">
        <v>31</v>
      </c>
      <c r="G855" t="s">
        <v>22</v>
      </c>
      <c r="H855" t="s">
        <v>65</v>
      </c>
      <c r="I855" t="s">
        <v>24</v>
      </c>
      <c r="J855">
        <v>5</v>
      </c>
      <c r="K855">
        <v>800</v>
      </c>
      <c r="L855">
        <v>10</v>
      </c>
      <c r="M855">
        <v>3600</v>
      </c>
      <c r="N855">
        <v>2800</v>
      </c>
      <c r="O855">
        <v>800</v>
      </c>
      <c r="P855" t="s">
        <v>40</v>
      </c>
      <c r="Q855" t="s">
        <v>76</v>
      </c>
      <c r="R855" t="str">
        <f>TEXT(SalesData[[#This Row],[Order Date]],"mmm")</f>
        <v>Jul</v>
      </c>
      <c r="S855" s="2" t="str">
        <f>"Q"&amp;ROUNDUP(MONTH(SalesData[[#This Row],[Order Date]])/3,0)</f>
        <v>Q3</v>
      </c>
      <c r="T855">
        <f>YEAR(SalesData[[#This Row],[Order Date]])</f>
        <v>2025</v>
      </c>
      <c r="U855">
        <f>SalesData[[#This Row],[Profit]]/SalesData[[#This Row],[Sales]]</f>
        <v>0.22222222222222221</v>
      </c>
    </row>
    <row r="856" spans="1:21" x14ac:dyDescent="0.25">
      <c r="A856" t="s">
        <v>1107</v>
      </c>
      <c r="B856" s="1">
        <v>45676</v>
      </c>
      <c r="C856" t="s">
        <v>291</v>
      </c>
      <c r="D856" t="s">
        <v>773</v>
      </c>
      <c r="E856" t="s">
        <v>93</v>
      </c>
      <c r="F856" t="s">
        <v>94</v>
      </c>
      <c r="G856" t="s">
        <v>64</v>
      </c>
      <c r="H856" t="s">
        <v>65</v>
      </c>
      <c r="I856" t="s">
        <v>80</v>
      </c>
      <c r="J856">
        <v>7</v>
      </c>
      <c r="K856">
        <v>4500</v>
      </c>
      <c r="L856">
        <v>0</v>
      </c>
      <c r="M856">
        <v>31500</v>
      </c>
      <c r="N856">
        <v>22050</v>
      </c>
      <c r="O856">
        <v>9450</v>
      </c>
      <c r="P856" t="s">
        <v>25</v>
      </c>
      <c r="Q856" t="s">
        <v>76</v>
      </c>
      <c r="R856" t="str">
        <f>TEXT(SalesData[[#This Row],[Order Date]],"mmm")</f>
        <v>Jan</v>
      </c>
      <c r="S856" s="2" t="str">
        <f>"Q"&amp;ROUNDUP(MONTH(SalesData[[#This Row],[Order Date]])/3,0)</f>
        <v>Q1</v>
      </c>
      <c r="T856">
        <f>YEAR(SalesData[[#This Row],[Order Date]])</f>
        <v>2025</v>
      </c>
      <c r="U856">
        <f>SalesData[[#This Row],[Profit]]/SalesData[[#This Row],[Sales]]</f>
        <v>0.3</v>
      </c>
    </row>
    <row r="857" spans="1:21" x14ac:dyDescent="0.25">
      <c r="A857" t="s">
        <v>1108</v>
      </c>
      <c r="B857" s="1">
        <v>45674</v>
      </c>
      <c r="C857" t="s">
        <v>135</v>
      </c>
      <c r="D857" t="s">
        <v>224</v>
      </c>
      <c r="E857" t="s">
        <v>93</v>
      </c>
      <c r="F857" t="s">
        <v>94</v>
      </c>
      <c r="G857" t="s">
        <v>64</v>
      </c>
      <c r="H857" t="s">
        <v>65</v>
      </c>
      <c r="I857" t="s">
        <v>80</v>
      </c>
      <c r="J857">
        <v>8</v>
      </c>
      <c r="K857">
        <v>4500</v>
      </c>
      <c r="L857">
        <v>10</v>
      </c>
      <c r="M857">
        <v>32400</v>
      </c>
      <c r="N857">
        <v>25200</v>
      </c>
      <c r="O857">
        <v>7200</v>
      </c>
      <c r="P857" t="s">
        <v>25</v>
      </c>
      <c r="Q857" t="s">
        <v>26</v>
      </c>
      <c r="R857" t="str">
        <f>TEXT(SalesData[[#This Row],[Order Date]],"mmm")</f>
        <v>Jan</v>
      </c>
      <c r="S857" s="2" t="str">
        <f>"Q"&amp;ROUNDUP(MONTH(SalesData[[#This Row],[Order Date]])/3,0)</f>
        <v>Q1</v>
      </c>
      <c r="T857">
        <f>YEAR(SalesData[[#This Row],[Order Date]])</f>
        <v>2025</v>
      </c>
      <c r="U857">
        <f>SalesData[[#This Row],[Profit]]/SalesData[[#This Row],[Sales]]</f>
        <v>0.22222222222222221</v>
      </c>
    </row>
    <row r="858" spans="1:21" x14ac:dyDescent="0.25">
      <c r="A858" t="s">
        <v>1109</v>
      </c>
      <c r="B858" s="1">
        <v>45962</v>
      </c>
      <c r="C858" t="s">
        <v>107</v>
      </c>
      <c r="D858" t="s">
        <v>108</v>
      </c>
      <c r="E858" t="s">
        <v>30</v>
      </c>
      <c r="F858" t="s">
        <v>31</v>
      </c>
      <c r="G858" t="s">
        <v>22</v>
      </c>
      <c r="H858" t="s">
        <v>65</v>
      </c>
      <c r="I858" t="s">
        <v>66</v>
      </c>
      <c r="J858">
        <v>2</v>
      </c>
      <c r="K858">
        <v>800</v>
      </c>
      <c r="L858">
        <v>20</v>
      </c>
      <c r="M858">
        <v>1280</v>
      </c>
      <c r="N858">
        <v>1120</v>
      </c>
      <c r="O858">
        <v>160</v>
      </c>
      <c r="P858" t="s">
        <v>40</v>
      </c>
      <c r="Q858" t="s">
        <v>76</v>
      </c>
      <c r="R858" t="str">
        <f>TEXT(SalesData[[#This Row],[Order Date]],"mmm")</f>
        <v>Nov</v>
      </c>
      <c r="S858" s="2" t="str">
        <f>"Q"&amp;ROUNDUP(MONTH(SalesData[[#This Row],[Order Date]])/3,0)</f>
        <v>Q4</v>
      </c>
      <c r="T858">
        <f>YEAR(SalesData[[#This Row],[Order Date]])</f>
        <v>2025</v>
      </c>
      <c r="U858">
        <f>SalesData[[#This Row],[Profit]]/SalesData[[#This Row],[Sales]]</f>
        <v>0.125</v>
      </c>
    </row>
    <row r="859" spans="1:21" x14ac:dyDescent="0.25">
      <c r="A859" t="s">
        <v>1110</v>
      </c>
      <c r="B859" s="1">
        <v>45876</v>
      </c>
      <c r="C859" t="s">
        <v>234</v>
      </c>
      <c r="D859" t="s">
        <v>174</v>
      </c>
      <c r="E859" t="s">
        <v>70</v>
      </c>
      <c r="F859" t="s">
        <v>71</v>
      </c>
      <c r="G859" t="s">
        <v>22</v>
      </c>
      <c r="H859" t="s">
        <v>32</v>
      </c>
      <c r="I859" t="s">
        <v>66</v>
      </c>
      <c r="J859">
        <v>5</v>
      </c>
      <c r="K859">
        <v>1500</v>
      </c>
      <c r="L859">
        <v>5</v>
      </c>
      <c r="M859">
        <v>7125</v>
      </c>
      <c r="N859">
        <v>5250</v>
      </c>
      <c r="O859">
        <v>1875</v>
      </c>
      <c r="P859" t="s">
        <v>25</v>
      </c>
      <c r="Q859" t="s">
        <v>26</v>
      </c>
      <c r="R859" t="str">
        <f>TEXT(SalesData[[#This Row],[Order Date]],"mmm")</f>
        <v>Aug</v>
      </c>
      <c r="S859" s="2" t="str">
        <f>"Q"&amp;ROUNDUP(MONTH(SalesData[[#This Row],[Order Date]])/3,0)</f>
        <v>Q3</v>
      </c>
      <c r="T859">
        <f>YEAR(SalesData[[#This Row],[Order Date]])</f>
        <v>2025</v>
      </c>
      <c r="U859">
        <f>SalesData[[#This Row],[Profit]]/SalesData[[#This Row],[Sales]]</f>
        <v>0.26315789473684209</v>
      </c>
    </row>
    <row r="860" spans="1:21" x14ac:dyDescent="0.25">
      <c r="A860" t="s">
        <v>1111</v>
      </c>
      <c r="B860" s="1">
        <v>45664</v>
      </c>
      <c r="C860" t="s">
        <v>144</v>
      </c>
      <c r="D860" t="s">
        <v>358</v>
      </c>
      <c r="E860" t="s">
        <v>30</v>
      </c>
      <c r="F860" t="s">
        <v>31</v>
      </c>
      <c r="G860" t="s">
        <v>22</v>
      </c>
      <c r="H860" t="s">
        <v>32</v>
      </c>
      <c r="I860" t="s">
        <v>53</v>
      </c>
      <c r="J860">
        <v>4</v>
      </c>
      <c r="K860">
        <v>800</v>
      </c>
      <c r="L860">
        <v>0</v>
      </c>
      <c r="M860">
        <v>3200</v>
      </c>
      <c r="N860">
        <v>2240</v>
      </c>
      <c r="O860">
        <v>960</v>
      </c>
      <c r="P860" t="s">
        <v>58</v>
      </c>
      <c r="Q860" t="s">
        <v>26</v>
      </c>
      <c r="R860" t="str">
        <f>TEXT(SalesData[[#This Row],[Order Date]],"mmm")</f>
        <v>Jan</v>
      </c>
      <c r="S860" s="2" t="str">
        <f>"Q"&amp;ROUNDUP(MONTH(SalesData[[#This Row],[Order Date]])/3,0)</f>
        <v>Q1</v>
      </c>
      <c r="T860">
        <f>YEAR(SalesData[[#This Row],[Order Date]])</f>
        <v>2025</v>
      </c>
      <c r="U860">
        <f>SalesData[[#This Row],[Profit]]/SalesData[[#This Row],[Sales]]</f>
        <v>0.3</v>
      </c>
    </row>
    <row r="861" spans="1:21" x14ac:dyDescent="0.25">
      <c r="A861" t="s">
        <v>1112</v>
      </c>
      <c r="B861" s="1">
        <v>45921</v>
      </c>
      <c r="C861" t="s">
        <v>237</v>
      </c>
      <c r="D861" t="s">
        <v>36</v>
      </c>
      <c r="E861" t="s">
        <v>30</v>
      </c>
      <c r="F861" t="s">
        <v>31</v>
      </c>
      <c r="G861" t="s">
        <v>22</v>
      </c>
      <c r="H861" t="s">
        <v>46</v>
      </c>
      <c r="I861" t="s">
        <v>66</v>
      </c>
      <c r="J861">
        <v>4</v>
      </c>
      <c r="K861">
        <v>800</v>
      </c>
      <c r="L861">
        <v>20</v>
      </c>
      <c r="M861">
        <v>2560</v>
      </c>
      <c r="N861">
        <v>2240</v>
      </c>
      <c r="O861">
        <v>320</v>
      </c>
      <c r="P861" t="s">
        <v>54</v>
      </c>
      <c r="Q861" t="s">
        <v>26</v>
      </c>
      <c r="R861" t="str">
        <f>TEXT(SalesData[[#This Row],[Order Date]],"mmm")</f>
        <v>Sep</v>
      </c>
      <c r="S861" s="2" t="str">
        <f>"Q"&amp;ROUNDUP(MONTH(SalesData[[#This Row],[Order Date]])/3,0)</f>
        <v>Q3</v>
      </c>
      <c r="T861">
        <f>YEAR(SalesData[[#This Row],[Order Date]])</f>
        <v>2025</v>
      </c>
      <c r="U861">
        <f>SalesData[[#This Row],[Profit]]/SalesData[[#This Row],[Sales]]</f>
        <v>0.125</v>
      </c>
    </row>
    <row r="862" spans="1:21" x14ac:dyDescent="0.25">
      <c r="A862" t="s">
        <v>1113</v>
      </c>
      <c r="B862" s="1">
        <v>45993</v>
      </c>
      <c r="C862" t="s">
        <v>634</v>
      </c>
      <c r="D862" t="s">
        <v>336</v>
      </c>
      <c r="E862" t="s">
        <v>93</v>
      </c>
      <c r="F862" t="s">
        <v>94</v>
      </c>
      <c r="G862" t="s">
        <v>64</v>
      </c>
      <c r="H862" t="s">
        <v>23</v>
      </c>
      <c r="I862" t="s">
        <v>39</v>
      </c>
      <c r="J862">
        <v>2</v>
      </c>
      <c r="K862">
        <v>4500</v>
      </c>
      <c r="L862">
        <v>15</v>
      </c>
      <c r="M862">
        <v>7650</v>
      </c>
      <c r="N862">
        <v>6300</v>
      </c>
      <c r="O862">
        <v>1350</v>
      </c>
      <c r="P862" t="s">
        <v>40</v>
      </c>
      <c r="Q862" t="s">
        <v>33</v>
      </c>
      <c r="R862" t="str">
        <f>TEXT(SalesData[[#This Row],[Order Date]],"mmm")</f>
        <v>Dec</v>
      </c>
      <c r="S862" s="2" t="str">
        <f>"Q"&amp;ROUNDUP(MONTH(SalesData[[#This Row],[Order Date]])/3,0)</f>
        <v>Q4</v>
      </c>
      <c r="T862">
        <f>YEAR(SalesData[[#This Row],[Order Date]])</f>
        <v>2025</v>
      </c>
      <c r="U862">
        <f>SalesData[[#This Row],[Profit]]/SalesData[[#This Row],[Sales]]</f>
        <v>0.17647058823529413</v>
      </c>
    </row>
    <row r="863" spans="1:21" x14ac:dyDescent="0.25">
      <c r="A863" t="s">
        <v>1114</v>
      </c>
      <c r="B863" s="1">
        <v>45803</v>
      </c>
      <c r="C863" t="s">
        <v>214</v>
      </c>
      <c r="D863" t="s">
        <v>61</v>
      </c>
      <c r="E863" t="s">
        <v>30</v>
      </c>
      <c r="F863" t="s">
        <v>31</v>
      </c>
      <c r="G863" t="s">
        <v>22</v>
      </c>
      <c r="H863" t="s">
        <v>65</v>
      </c>
      <c r="I863" t="s">
        <v>80</v>
      </c>
      <c r="J863">
        <v>10</v>
      </c>
      <c r="K863">
        <v>800</v>
      </c>
      <c r="L863">
        <v>20</v>
      </c>
      <c r="M863">
        <v>6400</v>
      </c>
      <c r="N863">
        <v>5600</v>
      </c>
      <c r="O863">
        <v>800</v>
      </c>
      <c r="P863" t="s">
        <v>25</v>
      </c>
      <c r="Q863" t="s">
        <v>26</v>
      </c>
      <c r="R863" t="str">
        <f>TEXT(SalesData[[#This Row],[Order Date]],"mmm")</f>
        <v>May</v>
      </c>
      <c r="S863" s="2" t="str">
        <f>"Q"&amp;ROUNDUP(MONTH(SalesData[[#This Row],[Order Date]])/3,0)</f>
        <v>Q2</v>
      </c>
      <c r="T863">
        <f>YEAR(SalesData[[#This Row],[Order Date]])</f>
        <v>2025</v>
      </c>
      <c r="U863">
        <f>SalesData[[#This Row],[Profit]]/SalesData[[#This Row],[Sales]]</f>
        <v>0.125</v>
      </c>
    </row>
    <row r="864" spans="1:21" x14ac:dyDescent="0.25">
      <c r="A864" t="s">
        <v>1115</v>
      </c>
      <c r="B864" s="1">
        <v>45701</v>
      </c>
      <c r="C864" t="s">
        <v>152</v>
      </c>
      <c r="D864" t="s">
        <v>496</v>
      </c>
      <c r="E864" t="s">
        <v>50</v>
      </c>
      <c r="F864" t="s">
        <v>51</v>
      </c>
      <c r="G864" t="s">
        <v>52</v>
      </c>
      <c r="H864" t="s">
        <v>46</v>
      </c>
      <c r="I864" t="s">
        <v>53</v>
      </c>
      <c r="J864">
        <v>5</v>
      </c>
      <c r="K864">
        <v>3200</v>
      </c>
      <c r="L864">
        <v>0</v>
      </c>
      <c r="M864">
        <v>16000</v>
      </c>
      <c r="N864">
        <v>11200</v>
      </c>
      <c r="O864">
        <v>4800</v>
      </c>
      <c r="P864" t="s">
        <v>58</v>
      </c>
      <c r="Q864" t="s">
        <v>33</v>
      </c>
      <c r="R864" t="str">
        <f>TEXT(SalesData[[#This Row],[Order Date]],"mmm")</f>
        <v>Feb</v>
      </c>
      <c r="S864" s="2" t="str">
        <f>"Q"&amp;ROUNDUP(MONTH(SalesData[[#This Row],[Order Date]])/3,0)</f>
        <v>Q1</v>
      </c>
      <c r="T864">
        <f>YEAR(SalesData[[#This Row],[Order Date]])</f>
        <v>2025</v>
      </c>
      <c r="U864">
        <f>SalesData[[#This Row],[Profit]]/SalesData[[#This Row],[Sales]]</f>
        <v>0.3</v>
      </c>
    </row>
    <row r="865" spans="1:21" x14ac:dyDescent="0.25">
      <c r="A865" t="s">
        <v>1116</v>
      </c>
      <c r="B865" s="1">
        <v>45987</v>
      </c>
      <c r="C865" t="s">
        <v>623</v>
      </c>
      <c r="D865" t="s">
        <v>606</v>
      </c>
      <c r="E865" t="s">
        <v>20</v>
      </c>
      <c r="F865" t="s">
        <v>21</v>
      </c>
      <c r="G865" t="s">
        <v>22</v>
      </c>
      <c r="H865" t="s">
        <v>32</v>
      </c>
      <c r="I865" t="s">
        <v>80</v>
      </c>
      <c r="J865">
        <v>5</v>
      </c>
      <c r="K865">
        <v>3500</v>
      </c>
      <c r="L865">
        <v>10</v>
      </c>
      <c r="M865">
        <v>15750</v>
      </c>
      <c r="N865">
        <v>12250</v>
      </c>
      <c r="O865">
        <v>3500</v>
      </c>
      <c r="P865" t="s">
        <v>40</v>
      </c>
      <c r="Q865" t="s">
        <v>76</v>
      </c>
      <c r="R865" t="str">
        <f>TEXT(SalesData[[#This Row],[Order Date]],"mmm")</f>
        <v>Nov</v>
      </c>
      <c r="S865" s="2" t="str">
        <f>"Q"&amp;ROUNDUP(MONTH(SalesData[[#This Row],[Order Date]])/3,0)</f>
        <v>Q4</v>
      </c>
      <c r="T865">
        <f>YEAR(SalesData[[#This Row],[Order Date]])</f>
        <v>2025</v>
      </c>
      <c r="U865">
        <f>SalesData[[#This Row],[Profit]]/SalesData[[#This Row],[Sales]]</f>
        <v>0.22222222222222221</v>
      </c>
    </row>
    <row r="866" spans="1:21" x14ac:dyDescent="0.25">
      <c r="A866" t="s">
        <v>1117</v>
      </c>
      <c r="B866" s="1">
        <v>46000</v>
      </c>
      <c r="C866" t="s">
        <v>365</v>
      </c>
      <c r="D866" t="s">
        <v>555</v>
      </c>
      <c r="E866" t="s">
        <v>50</v>
      </c>
      <c r="F866" t="s">
        <v>51</v>
      </c>
      <c r="G866" t="s">
        <v>52</v>
      </c>
      <c r="H866" t="s">
        <v>32</v>
      </c>
      <c r="I866" t="s">
        <v>39</v>
      </c>
      <c r="J866">
        <v>7</v>
      </c>
      <c r="K866">
        <v>3200</v>
      </c>
      <c r="L866">
        <v>15</v>
      </c>
      <c r="M866">
        <v>19040</v>
      </c>
      <c r="N866">
        <v>15680</v>
      </c>
      <c r="O866">
        <v>3360.0000000000018</v>
      </c>
      <c r="P866" t="s">
        <v>25</v>
      </c>
      <c r="Q866" t="s">
        <v>33</v>
      </c>
      <c r="R866" t="str">
        <f>TEXT(SalesData[[#This Row],[Order Date]],"mmm")</f>
        <v>Dec</v>
      </c>
      <c r="S866" s="2" t="str">
        <f>"Q"&amp;ROUNDUP(MONTH(SalesData[[#This Row],[Order Date]])/3,0)</f>
        <v>Q4</v>
      </c>
      <c r="T866">
        <f>YEAR(SalesData[[#This Row],[Order Date]])</f>
        <v>2025</v>
      </c>
      <c r="U866">
        <f>SalesData[[#This Row],[Profit]]/SalesData[[#This Row],[Sales]]</f>
        <v>0.17647058823529421</v>
      </c>
    </row>
    <row r="867" spans="1:21" x14ac:dyDescent="0.25">
      <c r="A867" t="s">
        <v>1118</v>
      </c>
      <c r="B867" s="1">
        <v>45687</v>
      </c>
      <c r="C867" t="s">
        <v>99</v>
      </c>
      <c r="D867" t="s">
        <v>377</v>
      </c>
      <c r="E867" t="s">
        <v>20</v>
      </c>
      <c r="F867" t="s">
        <v>21</v>
      </c>
      <c r="G867" t="s">
        <v>22</v>
      </c>
      <c r="H867" t="s">
        <v>23</v>
      </c>
      <c r="I867" t="s">
        <v>72</v>
      </c>
      <c r="J867">
        <v>3</v>
      </c>
      <c r="K867">
        <v>3500</v>
      </c>
      <c r="L867">
        <v>0</v>
      </c>
      <c r="M867">
        <v>10500</v>
      </c>
      <c r="N867">
        <v>7349.9999999999991</v>
      </c>
      <c r="O867">
        <v>3150.0000000000009</v>
      </c>
      <c r="P867" t="s">
        <v>40</v>
      </c>
      <c r="Q867" t="s">
        <v>26</v>
      </c>
      <c r="R867" t="str">
        <f>TEXT(SalesData[[#This Row],[Order Date]],"mmm")</f>
        <v>Jan</v>
      </c>
      <c r="S867" s="2" t="str">
        <f>"Q"&amp;ROUNDUP(MONTH(SalesData[[#This Row],[Order Date]])/3,0)</f>
        <v>Q1</v>
      </c>
      <c r="T867">
        <f>YEAR(SalesData[[#This Row],[Order Date]])</f>
        <v>2025</v>
      </c>
      <c r="U867">
        <f>SalesData[[#This Row],[Profit]]/SalesData[[#This Row],[Sales]]</f>
        <v>0.3000000000000001</v>
      </c>
    </row>
    <row r="868" spans="1:21" x14ac:dyDescent="0.25">
      <c r="A868" t="s">
        <v>1119</v>
      </c>
      <c r="B868" s="1">
        <v>45750</v>
      </c>
      <c r="C868" t="s">
        <v>234</v>
      </c>
      <c r="D868" t="s">
        <v>130</v>
      </c>
      <c r="E868" t="s">
        <v>93</v>
      </c>
      <c r="F868" t="s">
        <v>94</v>
      </c>
      <c r="G868" t="s">
        <v>64</v>
      </c>
      <c r="H868" t="s">
        <v>23</v>
      </c>
      <c r="I868" t="s">
        <v>72</v>
      </c>
      <c r="J868">
        <v>5</v>
      </c>
      <c r="K868">
        <v>4500</v>
      </c>
      <c r="L868">
        <v>10</v>
      </c>
      <c r="M868">
        <v>20250</v>
      </c>
      <c r="N868">
        <v>15750</v>
      </c>
      <c r="O868">
        <v>4500.0000000000018</v>
      </c>
      <c r="P868" t="s">
        <v>40</v>
      </c>
      <c r="Q868" t="s">
        <v>76</v>
      </c>
      <c r="R868" t="str">
        <f>TEXT(SalesData[[#This Row],[Order Date]],"mmm")</f>
        <v>Apr</v>
      </c>
      <c r="S868" s="2" t="str">
        <f>"Q"&amp;ROUNDUP(MONTH(SalesData[[#This Row],[Order Date]])/3,0)</f>
        <v>Q2</v>
      </c>
      <c r="T868">
        <f>YEAR(SalesData[[#This Row],[Order Date]])</f>
        <v>2025</v>
      </c>
      <c r="U868">
        <f>SalesData[[#This Row],[Profit]]/SalesData[[#This Row],[Sales]]</f>
        <v>0.22222222222222232</v>
      </c>
    </row>
    <row r="869" spans="1:21" x14ac:dyDescent="0.25">
      <c r="A869" t="s">
        <v>1120</v>
      </c>
      <c r="B869" s="1">
        <v>45801</v>
      </c>
      <c r="C869" t="s">
        <v>144</v>
      </c>
      <c r="D869" t="s">
        <v>136</v>
      </c>
      <c r="E869" t="s">
        <v>30</v>
      </c>
      <c r="F869" t="s">
        <v>31</v>
      </c>
      <c r="G869" t="s">
        <v>22</v>
      </c>
      <c r="H869" t="s">
        <v>46</v>
      </c>
      <c r="I869" t="s">
        <v>53</v>
      </c>
      <c r="J869">
        <v>8</v>
      </c>
      <c r="K869">
        <v>800</v>
      </c>
      <c r="L869">
        <v>20</v>
      </c>
      <c r="M869">
        <v>5120</v>
      </c>
      <c r="N869">
        <v>4480</v>
      </c>
      <c r="O869">
        <v>640</v>
      </c>
      <c r="P869" t="s">
        <v>54</v>
      </c>
      <c r="Q869" t="s">
        <v>33</v>
      </c>
      <c r="R869" t="str">
        <f>TEXT(SalesData[[#This Row],[Order Date]],"mmm")</f>
        <v>May</v>
      </c>
      <c r="S869" s="2" t="str">
        <f>"Q"&amp;ROUNDUP(MONTH(SalesData[[#This Row],[Order Date]])/3,0)</f>
        <v>Q2</v>
      </c>
      <c r="T869">
        <f>YEAR(SalesData[[#This Row],[Order Date]])</f>
        <v>2025</v>
      </c>
      <c r="U869">
        <f>SalesData[[#This Row],[Profit]]/SalesData[[#This Row],[Sales]]</f>
        <v>0.125</v>
      </c>
    </row>
    <row r="870" spans="1:21" x14ac:dyDescent="0.25">
      <c r="A870" t="s">
        <v>1121</v>
      </c>
      <c r="B870" s="1">
        <v>45751</v>
      </c>
      <c r="C870" t="s">
        <v>112</v>
      </c>
      <c r="D870" t="s">
        <v>530</v>
      </c>
      <c r="E870" t="s">
        <v>37</v>
      </c>
      <c r="F870" t="s">
        <v>38</v>
      </c>
      <c r="G870" t="s">
        <v>22</v>
      </c>
      <c r="H870" t="s">
        <v>23</v>
      </c>
      <c r="I870" t="s">
        <v>80</v>
      </c>
      <c r="J870">
        <v>9</v>
      </c>
      <c r="K870">
        <v>55000</v>
      </c>
      <c r="L870">
        <v>0</v>
      </c>
      <c r="M870">
        <v>495000</v>
      </c>
      <c r="N870">
        <v>346500</v>
      </c>
      <c r="O870">
        <v>148500</v>
      </c>
      <c r="P870" t="s">
        <v>54</v>
      </c>
      <c r="Q870" t="s">
        <v>26</v>
      </c>
      <c r="R870" t="str">
        <f>TEXT(SalesData[[#This Row],[Order Date]],"mmm")</f>
        <v>Apr</v>
      </c>
      <c r="S870" s="2" t="str">
        <f>"Q"&amp;ROUNDUP(MONTH(SalesData[[#This Row],[Order Date]])/3,0)</f>
        <v>Q2</v>
      </c>
      <c r="T870">
        <f>YEAR(SalesData[[#This Row],[Order Date]])</f>
        <v>2025</v>
      </c>
      <c r="U870">
        <f>SalesData[[#This Row],[Profit]]/SalesData[[#This Row],[Sales]]</f>
        <v>0.3</v>
      </c>
    </row>
    <row r="871" spans="1:21" x14ac:dyDescent="0.25">
      <c r="A871" t="s">
        <v>1122</v>
      </c>
      <c r="B871" s="1">
        <v>45696</v>
      </c>
      <c r="C871" t="s">
        <v>155</v>
      </c>
      <c r="D871" t="s">
        <v>196</v>
      </c>
      <c r="E871" t="s">
        <v>70</v>
      </c>
      <c r="F871" t="s">
        <v>71</v>
      </c>
      <c r="G871" t="s">
        <v>22</v>
      </c>
      <c r="H871" t="s">
        <v>46</v>
      </c>
      <c r="I871" t="s">
        <v>80</v>
      </c>
      <c r="J871">
        <v>9</v>
      </c>
      <c r="K871">
        <v>1500</v>
      </c>
      <c r="L871">
        <v>5</v>
      </c>
      <c r="M871">
        <v>12825</v>
      </c>
      <c r="N871">
        <v>9450</v>
      </c>
      <c r="O871">
        <v>3375</v>
      </c>
      <c r="P871" t="s">
        <v>54</v>
      </c>
      <c r="Q871" t="s">
        <v>33</v>
      </c>
      <c r="R871" t="str">
        <f>TEXT(SalesData[[#This Row],[Order Date]],"mmm")</f>
        <v>Feb</v>
      </c>
      <c r="S871" s="2" t="str">
        <f>"Q"&amp;ROUNDUP(MONTH(SalesData[[#This Row],[Order Date]])/3,0)</f>
        <v>Q1</v>
      </c>
      <c r="T871">
        <f>YEAR(SalesData[[#This Row],[Order Date]])</f>
        <v>2025</v>
      </c>
      <c r="U871">
        <f>SalesData[[#This Row],[Profit]]/SalesData[[#This Row],[Sales]]</f>
        <v>0.26315789473684209</v>
      </c>
    </row>
    <row r="872" spans="1:21" x14ac:dyDescent="0.25">
      <c r="A872" t="s">
        <v>1123</v>
      </c>
      <c r="B872" s="1">
        <v>45669</v>
      </c>
      <c r="C872" t="s">
        <v>539</v>
      </c>
      <c r="D872" t="s">
        <v>238</v>
      </c>
      <c r="E872" t="s">
        <v>37</v>
      </c>
      <c r="F872" t="s">
        <v>38</v>
      </c>
      <c r="G872" t="s">
        <v>22</v>
      </c>
      <c r="H872" t="s">
        <v>65</v>
      </c>
      <c r="I872" t="s">
        <v>39</v>
      </c>
      <c r="J872">
        <v>8</v>
      </c>
      <c r="K872">
        <v>55000</v>
      </c>
      <c r="L872">
        <v>10</v>
      </c>
      <c r="M872">
        <v>396000</v>
      </c>
      <c r="N872">
        <v>308000</v>
      </c>
      <c r="O872">
        <v>88000</v>
      </c>
      <c r="P872" t="s">
        <v>25</v>
      </c>
      <c r="Q872" t="s">
        <v>33</v>
      </c>
      <c r="R872" t="str">
        <f>TEXT(SalesData[[#This Row],[Order Date]],"mmm")</f>
        <v>Jan</v>
      </c>
      <c r="S872" s="2" t="str">
        <f>"Q"&amp;ROUNDUP(MONTH(SalesData[[#This Row],[Order Date]])/3,0)</f>
        <v>Q1</v>
      </c>
      <c r="T872">
        <f>YEAR(SalesData[[#This Row],[Order Date]])</f>
        <v>2025</v>
      </c>
      <c r="U872">
        <f>SalesData[[#This Row],[Profit]]/SalesData[[#This Row],[Sales]]</f>
        <v>0.22222222222222221</v>
      </c>
    </row>
    <row r="873" spans="1:21" x14ac:dyDescent="0.25">
      <c r="A873" t="s">
        <v>1124</v>
      </c>
      <c r="B873" s="1">
        <v>45988</v>
      </c>
      <c r="C873" t="s">
        <v>74</v>
      </c>
      <c r="D873" t="s">
        <v>153</v>
      </c>
      <c r="E873" t="s">
        <v>44</v>
      </c>
      <c r="F873" t="s">
        <v>45</v>
      </c>
      <c r="G873" t="s">
        <v>22</v>
      </c>
      <c r="H873" t="s">
        <v>32</v>
      </c>
      <c r="I873" t="s">
        <v>39</v>
      </c>
      <c r="J873">
        <v>8</v>
      </c>
      <c r="K873">
        <v>9500</v>
      </c>
      <c r="L873">
        <v>0</v>
      </c>
      <c r="M873">
        <v>76000</v>
      </c>
      <c r="N873">
        <v>53200</v>
      </c>
      <c r="O873">
        <v>22800</v>
      </c>
      <c r="P873" t="s">
        <v>25</v>
      </c>
      <c r="Q873" t="s">
        <v>26</v>
      </c>
      <c r="R873" t="str">
        <f>TEXT(SalesData[[#This Row],[Order Date]],"mmm")</f>
        <v>Nov</v>
      </c>
      <c r="S873" s="2" t="str">
        <f>"Q"&amp;ROUNDUP(MONTH(SalesData[[#This Row],[Order Date]])/3,0)</f>
        <v>Q4</v>
      </c>
      <c r="T873">
        <f>YEAR(SalesData[[#This Row],[Order Date]])</f>
        <v>2025</v>
      </c>
      <c r="U873">
        <f>SalesData[[#This Row],[Profit]]/SalesData[[#This Row],[Sales]]</f>
        <v>0.3</v>
      </c>
    </row>
    <row r="874" spans="1:21" x14ac:dyDescent="0.25">
      <c r="A874" t="s">
        <v>1125</v>
      </c>
      <c r="B874" s="1">
        <v>45701</v>
      </c>
      <c r="C874" t="s">
        <v>323</v>
      </c>
      <c r="D874" t="s">
        <v>166</v>
      </c>
      <c r="E874" t="s">
        <v>44</v>
      </c>
      <c r="F874" t="s">
        <v>45</v>
      </c>
      <c r="G874" t="s">
        <v>22</v>
      </c>
      <c r="H874" t="s">
        <v>65</v>
      </c>
      <c r="I874" t="s">
        <v>24</v>
      </c>
      <c r="J874">
        <v>9</v>
      </c>
      <c r="K874">
        <v>9500</v>
      </c>
      <c r="L874">
        <v>5</v>
      </c>
      <c r="M874">
        <v>81225</v>
      </c>
      <c r="N874">
        <v>59849.999999999993</v>
      </c>
      <c r="O874">
        <v>21375.000000000011</v>
      </c>
      <c r="P874" t="s">
        <v>25</v>
      </c>
      <c r="Q874" t="s">
        <v>26</v>
      </c>
      <c r="R874" t="str">
        <f>TEXT(SalesData[[#This Row],[Order Date]],"mmm")</f>
        <v>Feb</v>
      </c>
      <c r="S874" s="2" t="str">
        <f>"Q"&amp;ROUNDUP(MONTH(SalesData[[#This Row],[Order Date]])/3,0)</f>
        <v>Q1</v>
      </c>
      <c r="T874">
        <f>YEAR(SalesData[[#This Row],[Order Date]])</f>
        <v>2025</v>
      </c>
      <c r="U874">
        <f>SalesData[[#This Row],[Profit]]/SalesData[[#This Row],[Sales]]</f>
        <v>0.26315789473684226</v>
      </c>
    </row>
    <row r="875" spans="1:21" x14ac:dyDescent="0.25">
      <c r="A875" t="s">
        <v>1126</v>
      </c>
      <c r="B875" s="1">
        <v>46019</v>
      </c>
      <c r="C875" t="s">
        <v>418</v>
      </c>
      <c r="D875" t="s">
        <v>179</v>
      </c>
      <c r="E875" t="s">
        <v>37</v>
      </c>
      <c r="F875" t="s">
        <v>38</v>
      </c>
      <c r="G875" t="s">
        <v>22</v>
      </c>
      <c r="H875" t="s">
        <v>32</v>
      </c>
      <c r="I875" t="s">
        <v>80</v>
      </c>
      <c r="J875">
        <v>9</v>
      </c>
      <c r="K875">
        <v>55000</v>
      </c>
      <c r="L875">
        <v>0</v>
      </c>
      <c r="M875">
        <v>495000</v>
      </c>
      <c r="N875">
        <v>346500</v>
      </c>
      <c r="O875">
        <v>148500</v>
      </c>
      <c r="P875" t="s">
        <v>54</v>
      </c>
      <c r="Q875" t="s">
        <v>76</v>
      </c>
      <c r="R875" t="str">
        <f>TEXT(SalesData[[#This Row],[Order Date]],"mmm")</f>
        <v>Dec</v>
      </c>
      <c r="S875" s="2" t="str">
        <f>"Q"&amp;ROUNDUP(MONTH(SalesData[[#This Row],[Order Date]])/3,0)</f>
        <v>Q4</v>
      </c>
      <c r="T875">
        <f>YEAR(SalesData[[#This Row],[Order Date]])</f>
        <v>2025</v>
      </c>
      <c r="U875">
        <f>SalesData[[#This Row],[Profit]]/SalesData[[#This Row],[Sales]]</f>
        <v>0.3</v>
      </c>
    </row>
    <row r="876" spans="1:21" x14ac:dyDescent="0.25">
      <c r="A876" t="s">
        <v>1127</v>
      </c>
      <c r="B876" s="1">
        <v>45663</v>
      </c>
      <c r="C876" t="s">
        <v>115</v>
      </c>
      <c r="D876" t="s">
        <v>191</v>
      </c>
      <c r="E876" t="s">
        <v>50</v>
      </c>
      <c r="F876" t="s">
        <v>51</v>
      </c>
      <c r="G876" t="s">
        <v>52</v>
      </c>
      <c r="H876" t="s">
        <v>65</v>
      </c>
      <c r="I876" t="s">
        <v>72</v>
      </c>
      <c r="J876">
        <v>10</v>
      </c>
      <c r="K876">
        <v>3200</v>
      </c>
      <c r="L876">
        <v>5</v>
      </c>
      <c r="M876">
        <v>30400</v>
      </c>
      <c r="N876">
        <v>22400</v>
      </c>
      <c r="O876">
        <v>8000</v>
      </c>
      <c r="P876" t="s">
        <v>58</v>
      </c>
      <c r="Q876" t="s">
        <v>26</v>
      </c>
      <c r="R876" t="str">
        <f>TEXT(SalesData[[#This Row],[Order Date]],"mmm")</f>
        <v>Jan</v>
      </c>
      <c r="S876" s="2" t="str">
        <f>"Q"&amp;ROUNDUP(MONTH(SalesData[[#This Row],[Order Date]])/3,0)</f>
        <v>Q1</v>
      </c>
      <c r="T876">
        <f>YEAR(SalesData[[#This Row],[Order Date]])</f>
        <v>2025</v>
      </c>
      <c r="U876">
        <f>SalesData[[#This Row],[Profit]]/SalesData[[#This Row],[Sales]]</f>
        <v>0.26315789473684209</v>
      </c>
    </row>
    <row r="877" spans="1:21" x14ac:dyDescent="0.25">
      <c r="A877" t="s">
        <v>1128</v>
      </c>
      <c r="B877" s="1">
        <v>45729</v>
      </c>
      <c r="C877" t="s">
        <v>265</v>
      </c>
      <c r="D877" t="s">
        <v>188</v>
      </c>
      <c r="E877" t="s">
        <v>93</v>
      </c>
      <c r="F877" t="s">
        <v>94</v>
      </c>
      <c r="G877" t="s">
        <v>64</v>
      </c>
      <c r="H877" t="s">
        <v>23</v>
      </c>
      <c r="I877" t="s">
        <v>72</v>
      </c>
      <c r="J877">
        <v>3</v>
      </c>
      <c r="K877">
        <v>4500</v>
      </c>
      <c r="L877">
        <v>20</v>
      </c>
      <c r="M877">
        <v>10800</v>
      </c>
      <c r="N877">
        <v>9450</v>
      </c>
      <c r="O877">
        <v>1350</v>
      </c>
      <c r="P877" t="s">
        <v>58</v>
      </c>
      <c r="Q877" t="s">
        <v>26</v>
      </c>
      <c r="R877" t="str">
        <f>TEXT(SalesData[[#This Row],[Order Date]],"mmm")</f>
        <v>Mar</v>
      </c>
      <c r="S877" s="2" t="str">
        <f>"Q"&amp;ROUNDUP(MONTH(SalesData[[#This Row],[Order Date]])/3,0)</f>
        <v>Q1</v>
      </c>
      <c r="T877">
        <f>YEAR(SalesData[[#This Row],[Order Date]])</f>
        <v>2025</v>
      </c>
      <c r="U877">
        <f>SalesData[[#This Row],[Profit]]/SalesData[[#This Row],[Sales]]</f>
        <v>0.125</v>
      </c>
    </row>
    <row r="878" spans="1:21" x14ac:dyDescent="0.25">
      <c r="A878" t="s">
        <v>1129</v>
      </c>
      <c r="B878" s="1">
        <v>45770</v>
      </c>
      <c r="C878" t="s">
        <v>212</v>
      </c>
      <c r="D878" t="s">
        <v>262</v>
      </c>
      <c r="E878" t="s">
        <v>93</v>
      </c>
      <c r="F878" t="s">
        <v>94</v>
      </c>
      <c r="G878" t="s">
        <v>64</v>
      </c>
      <c r="H878" t="s">
        <v>46</v>
      </c>
      <c r="I878" t="s">
        <v>72</v>
      </c>
      <c r="J878">
        <v>8</v>
      </c>
      <c r="K878">
        <v>4500</v>
      </c>
      <c r="L878">
        <v>15</v>
      </c>
      <c r="M878">
        <v>30600</v>
      </c>
      <c r="N878">
        <v>25200</v>
      </c>
      <c r="O878">
        <v>5400</v>
      </c>
      <c r="P878" t="s">
        <v>25</v>
      </c>
      <c r="Q878" t="s">
        <v>76</v>
      </c>
      <c r="R878" t="str">
        <f>TEXT(SalesData[[#This Row],[Order Date]],"mmm")</f>
        <v>Apr</v>
      </c>
      <c r="S878" s="2" t="str">
        <f>"Q"&amp;ROUNDUP(MONTH(SalesData[[#This Row],[Order Date]])/3,0)</f>
        <v>Q2</v>
      </c>
      <c r="T878">
        <f>YEAR(SalesData[[#This Row],[Order Date]])</f>
        <v>2025</v>
      </c>
      <c r="U878">
        <f>SalesData[[#This Row],[Profit]]/SalesData[[#This Row],[Sales]]</f>
        <v>0.17647058823529413</v>
      </c>
    </row>
    <row r="879" spans="1:21" x14ac:dyDescent="0.25">
      <c r="A879" t="s">
        <v>1130</v>
      </c>
      <c r="B879" s="1">
        <v>45860</v>
      </c>
      <c r="C879" t="s">
        <v>190</v>
      </c>
      <c r="D879" t="s">
        <v>320</v>
      </c>
      <c r="E879" t="s">
        <v>37</v>
      </c>
      <c r="F879" t="s">
        <v>38</v>
      </c>
      <c r="G879" t="s">
        <v>22</v>
      </c>
      <c r="H879" t="s">
        <v>32</v>
      </c>
      <c r="I879" t="s">
        <v>39</v>
      </c>
      <c r="J879">
        <v>10</v>
      </c>
      <c r="K879">
        <v>55000</v>
      </c>
      <c r="L879">
        <v>10</v>
      </c>
      <c r="M879">
        <v>495000</v>
      </c>
      <c r="N879">
        <v>385000</v>
      </c>
      <c r="O879">
        <v>110000</v>
      </c>
      <c r="P879" t="s">
        <v>25</v>
      </c>
      <c r="Q879" t="s">
        <v>33</v>
      </c>
      <c r="R879" t="str">
        <f>TEXT(SalesData[[#This Row],[Order Date]],"mmm")</f>
        <v>Jul</v>
      </c>
      <c r="S879" s="2" t="str">
        <f>"Q"&amp;ROUNDUP(MONTH(SalesData[[#This Row],[Order Date]])/3,0)</f>
        <v>Q3</v>
      </c>
      <c r="T879">
        <f>YEAR(SalesData[[#This Row],[Order Date]])</f>
        <v>2025</v>
      </c>
      <c r="U879">
        <f>SalesData[[#This Row],[Profit]]/SalesData[[#This Row],[Sales]]</f>
        <v>0.22222222222222221</v>
      </c>
    </row>
    <row r="880" spans="1:21" x14ac:dyDescent="0.25">
      <c r="A880" t="s">
        <v>1131</v>
      </c>
      <c r="B880" s="1">
        <v>45714</v>
      </c>
      <c r="C880" t="s">
        <v>157</v>
      </c>
      <c r="D880" t="s">
        <v>169</v>
      </c>
      <c r="E880" t="s">
        <v>44</v>
      </c>
      <c r="F880" t="s">
        <v>45</v>
      </c>
      <c r="G880" t="s">
        <v>22</v>
      </c>
      <c r="H880" t="s">
        <v>23</v>
      </c>
      <c r="I880" t="s">
        <v>24</v>
      </c>
      <c r="J880">
        <v>10</v>
      </c>
      <c r="K880">
        <v>9500</v>
      </c>
      <c r="L880">
        <v>15</v>
      </c>
      <c r="M880">
        <v>80750</v>
      </c>
      <c r="N880">
        <v>66500</v>
      </c>
      <c r="O880">
        <v>14250</v>
      </c>
      <c r="P880" t="s">
        <v>25</v>
      </c>
      <c r="Q880" t="s">
        <v>33</v>
      </c>
      <c r="R880" t="str">
        <f>TEXT(SalesData[[#This Row],[Order Date]],"mmm")</f>
        <v>Feb</v>
      </c>
      <c r="S880" s="2" t="str">
        <f>"Q"&amp;ROUNDUP(MONTH(SalesData[[#This Row],[Order Date]])/3,0)</f>
        <v>Q1</v>
      </c>
      <c r="T880">
        <f>YEAR(SalesData[[#This Row],[Order Date]])</f>
        <v>2025</v>
      </c>
      <c r="U880">
        <f>SalesData[[#This Row],[Profit]]/SalesData[[#This Row],[Sales]]</f>
        <v>0.17647058823529413</v>
      </c>
    </row>
    <row r="881" spans="1:21" x14ac:dyDescent="0.25">
      <c r="A881" t="s">
        <v>1132</v>
      </c>
      <c r="B881" s="1">
        <v>45836</v>
      </c>
      <c r="C881" t="s">
        <v>501</v>
      </c>
      <c r="D881" t="s">
        <v>336</v>
      </c>
      <c r="E881" t="s">
        <v>30</v>
      </c>
      <c r="F881" t="s">
        <v>31</v>
      </c>
      <c r="G881" t="s">
        <v>22</v>
      </c>
      <c r="H881" t="s">
        <v>65</v>
      </c>
      <c r="I881" t="s">
        <v>66</v>
      </c>
      <c r="J881">
        <v>1</v>
      </c>
      <c r="K881">
        <v>800</v>
      </c>
      <c r="L881">
        <v>5</v>
      </c>
      <c r="M881">
        <v>760</v>
      </c>
      <c r="N881">
        <v>560</v>
      </c>
      <c r="O881">
        <v>200</v>
      </c>
      <c r="P881" t="s">
        <v>40</v>
      </c>
      <c r="Q881" t="s">
        <v>26</v>
      </c>
      <c r="R881" t="str">
        <f>TEXT(SalesData[[#This Row],[Order Date]],"mmm")</f>
        <v>Jun</v>
      </c>
      <c r="S881" s="2" t="str">
        <f>"Q"&amp;ROUNDUP(MONTH(SalesData[[#This Row],[Order Date]])/3,0)</f>
        <v>Q2</v>
      </c>
      <c r="T881">
        <f>YEAR(SalesData[[#This Row],[Order Date]])</f>
        <v>2025</v>
      </c>
      <c r="U881">
        <f>SalesData[[#This Row],[Profit]]/SalesData[[#This Row],[Sales]]</f>
        <v>0.26315789473684209</v>
      </c>
    </row>
    <row r="882" spans="1:21" x14ac:dyDescent="0.25">
      <c r="A882" t="s">
        <v>1133</v>
      </c>
      <c r="B882" s="1">
        <v>46021</v>
      </c>
      <c r="C882" t="s">
        <v>152</v>
      </c>
      <c r="D882" t="s">
        <v>204</v>
      </c>
      <c r="E882" t="s">
        <v>62</v>
      </c>
      <c r="F882" t="s">
        <v>63</v>
      </c>
      <c r="G882" t="s">
        <v>64</v>
      </c>
      <c r="H882" t="s">
        <v>46</v>
      </c>
      <c r="I882" t="s">
        <v>39</v>
      </c>
      <c r="J882">
        <v>1</v>
      </c>
      <c r="K882">
        <v>8500</v>
      </c>
      <c r="L882">
        <v>15</v>
      </c>
      <c r="M882">
        <v>7225</v>
      </c>
      <c r="N882">
        <v>5950</v>
      </c>
      <c r="O882">
        <v>1275</v>
      </c>
      <c r="P882" t="s">
        <v>40</v>
      </c>
      <c r="Q882" t="s">
        <v>33</v>
      </c>
      <c r="R882" t="str">
        <f>TEXT(SalesData[[#This Row],[Order Date]],"mmm")</f>
        <v>Dec</v>
      </c>
      <c r="S882" s="2" t="str">
        <f>"Q"&amp;ROUNDUP(MONTH(SalesData[[#This Row],[Order Date]])/3,0)</f>
        <v>Q4</v>
      </c>
      <c r="T882">
        <f>YEAR(SalesData[[#This Row],[Order Date]])</f>
        <v>2025</v>
      </c>
      <c r="U882">
        <f>SalesData[[#This Row],[Profit]]/SalesData[[#This Row],[Sales]]</f>
        <v>0.17647058823529413</v>
      </c>
    </row>
    <row r="883" spans="1:21" x14ac:dyDescent="0.25">
      <c r="A883" t="s">
        <v>1134</v>
      </c>
      <c r="B883" s="1">
        <v>45708</v>
      </c>
      <c r="C883" t="s">
        <v>435</v>
      </c>
      <c r="D883" t="s">
        <v>235</v>
      </c>
      <c r="E883" t="s">
        <v>62</v>
      </c>
      <c r="F883" t="s">
        <v>63</v>
      </c>
      <c r="G883" t="s">
        <v>64</v>
      </c>
      <c r="H883" t="s">
        <v>23</v>
      </c>
      <c r="I883" t="s">
        <v>80</v>
      </c>
      <c r="J883">
        <v>1</v>
      </c>
      <c r="K883">
        <v>8500</v>
      </c>
      <c r="L883">
        <v>5</v>
      </c>
      <c r="M883">
        <v>8075</v>
      </c>
      <c r="N883">
        <v>5950</v>
      </c>
      <c r="O883">
        <v>2125</v>
      </c>
      <c r="P883" t="s">
        <v>58</v>
      </c>
      <c r="Q883" t="s">
        <v>33</v>
      </c>
      <c r="R883" t="str">
        <f>TEXT(SalesData[[#This Row],[Order Date]],"mmm")</f>
        <v>Feb</v>
      </c>
      <c r="S883" s="2" t="str">
        <f>"Q"&amp;ROUNDUP(MONTH(SalesData[[#This Row],[Order Date]])/3,0)</f>
        <v>Q1</v>
      </c>
      <c r="T883">
        <f>YEAR(SalesData[[#This Row],[Order Date]])</f>
        <v>2025</v>
      </c>
      <c r="U883">
        <f>SalesData[[#This Row],[Profit]]/SalesData[[#This Row],[Sales]]</f>
        <v>0.26315789473684209</v>
      </c>
    </row>
    <row r="884" spans="1:21" x14ac:dyDescent="0.25">
      <c r="A884" t="s">
        <v>1135</v>
      </c>
      <c r="B884" s="1">
        <v>45981</v>
      </c>
      <c r="C884" t="s">
        <v>195</v>
      </c>
      <c r="D884" t="s">
        <v>499</v>
      </c>
      <c r="E884" t="s">
        <v>70</v>
      </c>
      <c r="F884" t="s">
        <v>71</v>
      </c>
      <c r="G884" t="s">
        <v>22</v>
      </c>
      <c r="H884" t="s">
        <v>65</v>
      </c>
      <c r="I884" t="s">
        <v>66</v>
      </c>
      <c r="J884">
        <v>8</v>
      </c>
      <c r="K884">
        <v>1500</v>
      </c>
      <c r="L884">
        <v>0</v>
      </c>
      <c r="M884">
        <v>12000</v>
      </c>
      <c r="N884">
        <v>8400</v>
      </c>
      <c r="O884">
        <v>3600</v>
      </c>
      <c r="P884" t="s">
        <v>40</v>
      </c>
      <c r="Q884" t="s">
        <v>76</v>
      </c>
      <c r="R884" t="str">
        <f>TEXT(SalesData[[#This Row],[Order Date]],"mmm")</f>
        <v>Nov</v>
      </c>
      <c r="S884" s="2" t="str">
        <f>"Q"&amp;ROUNDUP(MONTH(SalesData[[#This Row],[Order Date]])/3,0)</f>
        <v>Q4</v>
      </c>
      <c r="T884">
        <f>YEAR(SalesData[[#This Row],[Order Date]])</f>
        <v>2025</v>
      </c>
      <c r="U884">
        <f>SalesData[[#This Row],[Profit]]/SalesData[[#This Row],[Sales]]</f>
        <v>0.3</v>
      </c>
    </row>
    <row r="885" spans="1:21" x14ac:dyDescent="0.25">
      <c r="A885" t="s">
        <v>1136</v>
      </c>
      <c r="B885" s="1">
        <v>45678</v>
      </c>
      <c r="C885" t="s">
        <v>214</v>
      </c>
      <c r="D885" t="s">
        <v>444</v>
      </c>
      <c r="E885" t="s">
        <v>70</v>
      </c>
      <c r="F885" t="s">
        <v>71</v>
      </c>
      <c r="G885" t="s">
        <v>22</v>
      </c>
      <c r="H885" t="s">
        <v>32</v>
      </c>
      <c r="I885" t="s">
        <v>72</v>
      </c>
      <c r="J885">
        <v>8</v>
      </c>
      <c r="K885">
        <v>1500</v>
      </c>
      <c r="L885">
        <v>15</v>
      </c>
      <c r="M885">
        <v>10200</v>
      </c>
      <c r="N885">
        <v>8400</v>
      </c>
      <c r="O885">
        <v>1800</v>
      </c>
      <c r="P885" t="s">
        <v>58</v>
      </c>
      <c r="Q885" t="s">
        <v>26</v>
      </c>
      <c r="R885" t="str">
        <f>TEXT(SalesData[[#This Row],[Order Date]],"mmm")</f>
        <v>Jan</v>
      </c>
      <c r="S885" s="2" t="str">
        <f>"Q"&amp;ROUNDUP(MONTH(SalesData[[#This Row],[Order Date]])/3,0)</f>
        <v>Q1</v>
      </c>
      <c r="T885">
        <f>YEAR(SalesData[[#This Row],[Order Date]])</f>
        <v>2025</v>
      </c>
      <c r="U885">
        <f>SalesData[[#This Row],[Profit]]/SalesData[[#This Row],[Sales]]</f>
        <v>0.17647058823529413</v>
      </c>
    </row>
    <row r="886" spans="1:21" x14ac:dyDescent="0.25">
      <c r="A886" t="s">
        <v>1137</v>
      </c>
      <c r="B886" s="1">
        <v>45662</v>
      </c>
      <c r="C886" t="s">
        <v>195</v>
      </c>
      <c r="D886" t="s">
        <v>606</v>
      </c>
      <c r="E886" t="s">
        <v>37</v>
      </c>
      <c r="F886" t="s">
        <v>38</v>
      </c>
      <c r="G886" t="s">
        <v>22</v>
      </c>
      <c r="H886" t="s">
        <v>23</v>
      </c>
      <c r="I886" t="s">
        <v>80</v>
      </c>
      <c r="J886">
        <v>2</v>
      </c>
      <c r="K886">
        <v>55000</v>
      </c>
      <c r="L886">
        <v>0</v>
      </c>
      <c r="M886">
        <v>110000</v>
      </c>
      <c r="N886">
        <v>77000</v>
      </c>
      <c r="O886">
        <v>33000</v>
      </c>
      <c r="P886" t="s">
        <v>58</v>
      </c>
      <c r="Q886" t="s">
        <v>33</v>
      </c>
      <c r="R886" t="str">
        <f>TEXT(SalesData[[#This Row],[Order Date]],"mmm")</f>
        <v>Jan</v>
      </c>
      <c r="S886" s="2" t="str">
        <f>"Q"&amp;ROUNDUP(MONTH(SalesData[[#This Row],[Order Date]])/3,0)</f>
        <v>Q1</v>
      </c>
      <c r="T886">
        <f>YEAR(SalesData[[#This Row],[Order Date]])</f>
        <v>2025</v>
      </c>
      <c r="U886">
        <f>SalesData[[#This Row],[Profit]]/SalesData[[#This Row],[Sales]]</f>
        <v>0.3</v>
      </c>
    </row>
    <row r="887" spans="1:21" x14ac:dyDescent="0.25">
      <c r="A887" t="s">
        <v>1138</v>
      </c>
      <c r="B887" s="1">
        <v>45836</v>
      </c>
      <c r="C887" t="s">
        <v>163</v>
      </c>
      <c r="D887" t="s">
        <v>153</v>
      </c>
      <c r="E887" t="s">
        <v>70</v>
      </c>
      <c r="F887" t="s">
        <v>71</v>
      </c>
      <c r="G887" t="s">
        <v>22</v>
      </c>
      <c r="H887" t="s">
        <v>46</v>
      </c>
      <c r="I887" t="s">
        <v>24</v>
      </c>
      <c r="J887">
        <v>10</v>
      </c>
      <c r="K887">
        <v>1500</v>
      </c>
      <c r="L887">
        <v>20</v>
      </c>
      <c r="M887">
        <v>12000</v>
      </c>
      <c r="N887">
        <v>10500</v>
      </c>
      <c r="O887">
        <v>1500</v>
      </c>
      <c r="P887" t="s">
        <v>25</v>
      </c>
      <c r="Q887" t="s">
        <v>33</v>
      </c>
      <c r="R887" t="str">
        <f>TEXT(SalesData[[#This Row],[Order Date]],"mmm")</f>
        <v>Jun</v>
      </c>
      <c r="S887" s="2" t="str">
        <f>"Q"&amp;ROUNDUP(MONTH(SalesData[[#This Row],[Order Date]])/3,0)</f>
        <v>Q2</v>
      </c>
      <c r="T887">
        <f>YEAR(SalesData[[#This Row],[Order Date]])</f>
        <v>2025</v>
      </c>
      <c r="U887">
        <f>SalesData[[#This Row],[Profit]]/SalesData[[#This Row],[Sales]]</f>
        <v>0.125</v>
      </c>
    </row>
    <row r="888" spans="1:21" x14ac:dyDescent="0.25">
      <c r="A888" t="s">
        <v>1139</v>
      </c>
      <c r="B888" s="1">
        <v>45781</v>
      </c>
      <c r="C888" t="s">
        <v>203</v>
      </c>
      <c r="D888" t="s">
        <v>921</v>
      </c>
      <c r="E888" t="s">
        <v>70</v>
      </c>
      <c r="F888" t="s">
        <v>71</v>
      </c>
      <c r="G888" t="s">
        <v>22</v>
      </c>
      <c r="H888" t="s">
        <v>23</v>
      </c>
      <c r="I888" t="s">
        <v>39</v>
      </c>
      <c r="J888">
        <v>6</v>
      </c>
      <c r="K888">
        <v>1500</v>
      </c>
      <c r="L888">
        <v>0</v>
      </c>
      <c r="M888">
        <v>9000</v>
      </c>
      <c r="N888">
        <v>6300</v>
      </c>
      <c r="O888">
        <v>2700</v>
      </c>
      <c r="P888" t="s">
        <v>58</v>
      </c>
      <c r="Q888" t="s">
        <v>26</v>
      </c>
      <c r="R888" t="str">
        <f>TEXT(SalesData[[#This Row],[Order Date]],"mmm")</f>
        <v>May</v>
      </c>
      <c r="S888" s="2" t="str">
        <f>"Q"&amp;ROUNDUP(MONTH(SalesData[[#This Row],[Order Date]])/3,0)</f>
        <v>Q2</v>
      </c>
      <c r="T888">
        <f>YEAR(SalesData[[#This Row],[Order Date]])</f>
        <v>2025</v>
      </c>
      <c r="U888">
        <f>SalesData[[#This Row],[Profit]]/SalesData[[#This Row],[Sales]]</f>
        <v>0.3</v>
      </c>
    </row>
    <row r="889" spans="1:21" x14ac:dyDescent="0.25">
      <c r="A889" t="s">
        <v>1140</v>
      </c>
      <c r="B889" s="1">
        <v>45789</v>
      </c>
      <c r="C889" t="s">
        <v>121</v>
      </c>
      <c r="D889" t="s">
        <v>247</v>
      </c>
      <c r="E889" t="s">
        <v>50</v>
      </c>
      <c r="F889" t="s">
        <v>51</v>
      </c>
      <c r="G889" t="s">
        <v>52</v>
      </c>
      <c r="H889" t="s">
        <v>23</v>
      </c>
      <c r="I889" t="s">
        <v>66</v>
      </c>
      <c r="J889">
        <v>7</v>
      </c>
      <c r="K889">
        <v>3200</v>
      </c>
      <c r="L889">
        <v>10</v>
      </c>
      <c r="M889">
        <v>20160</v>
      </c>
      <c r="N889">
        <v>15680</v>
      </c>
      <c r="O889">
        <v>4480.0000000000018</v>
      </c>
      <c r="P889" t="s">
        <v>58</v>
      </c>
      <c r="Q889" t="s">
        <v>26</v>
      </c>
      <c r="R889" t="str">
        <f>TEXT(SalesData[[#This Row],[Order Date]],"mmm")</f>
        <v>May</v>
      </c>
      <c r="S889" s="2" t="str">
        <f>"Q"&amp;ROUNDUP(MONTH(SalesData[[#This Row],[Order Date]])/3,0)</f>
        <v>Q2</v>
      </c>
      <c r="T889">
        <f>YEAR(SalesData[[#This Row],[Order Date]])</f>
        <v>2025</v>
      </c>
      <c r="U889">
        <f>SalesData[[#This Row],[Profit]]/SalesData[[#This Row],[Sales]]</f>
        <v>0.22222222222222232</v>
      </c>
    </row>
    <row r="890" spans="1:21" x14ac:dyDescent="0.25">
      <c r="A890" t="s">
        <v>1141</v>
      </c>
      <c r="B890" s="1">
        <v>45983</v>
      </c>
      <c r="C890" t="s">
        <v>495</v>
      </c>
      <c r="D890" t="s">
        <v>505</v>
      </c>
      <c r="E890" t="s">
        <v>44</v>
      </c>
      <c r="F890" t="s">
        <v>45</v>
      </c>
      <c r="G890" t="s">
        <v>22</v>
      </c>
      <c r="H890" t="s">
        <v>46</v>
      </c>
      <c r="I890" t="s">
        <v>53</v>
      </c>
      <c r="J890">
        <v>6</v>
      </c>
      <c r="K890">
        <v>9500</v>
      </c>
      <c r="L890">
        <v>15</v>
      </c>
      <c r="M890">
        <v>48450</v>
      </c>
      <c r="N890">
        <v>39900</v>
      </c>
      <c r="O890">
        <v>8550</v>
      </c>
      <c r="P890" t="s">
        <v>54</v>
      </c>
      <c r="Q890" t="s">
        <v>76</v>
      </c>
      <c r="R890" t="str">
        <f>TEXT(SalesData[[#This Row],[Order Date]],"mmm")</f>
        <v>Nov</v>
      </c>
      <c r="S890" s="2" t="str">
        <f>"Q"&amp;ROUNDUP(MONTH(SalesData[[#This Row],[Order Date]])/3,0)</f>
        <v>Q4</v>
      </c>
      <c r="T890">
        <f>YEAR(SalesData[[#This Row],[Order Date]])</f>
        <v>2025</v>
      </c>
      <c r="U890">
        <f>SalesData[[#This Row],[Profit]]/SalesData[[#This Row],[Sales]]</f>
        <v>0.17647058823529413</v>
      </c>
    </row>
    <row r="891" spans="1:21" x14ac:dyDescent="0.25">
      <c r="A891" t="s">
        <v>1142</v>
      </c>
      <c r="B891" s="1">
        <v>45805</v>
      </c>
      <c r="C891" t="s">
        <v>18</v>
      </c>
      <c r="D891" t="s">
        <v>110</v>
      </c>
      <c r="E891" t="s">
        <v>70</v>
      </c>
      <c r="F891" t="s">
        <v>71</v>
      </c>
      <c r="G891" t="s">
        <v>22</v>
      </c>
      <c r="H891" t="s">
        <v>23</v>
      </c>
      <c r="I891" t="s">
        <v>24</v>
      </c>
      <c r="J891">
        <v>10</v>
      </c>
      <c r="K891">
        <v>1500</v>
      </c>
      <c r="L891">
        <v>15</v>
      </c>
      <c r="M891">
        <v>12750</v>
      </c>
      <c r="N891">
        <v>10500</v>
      </c>
      <c r="O891">
        <v>2250</v>
      </c>
      <c r="P891" t="s">
        <v>58</v>
      </c>
      <c r="Q891" t="s">
        <v>26</v>
      </c>
      <c r="R891" t="str">
        <f>TEXT(SalesData[[#This Row],[Order Date]],"mmm")</f>
        <v>May</v>
      </c>
      <c r="S891" s="2" t="str">
        <f>"Q"&amp;ROUNDUP(MONTH(SalesData[[#This Row],[Order Date]])/3,0)</f>
        <v>Q2</v>
      </c>
      <c r="T891">
        <f>YEAR(SalesData[[#This Row],[Order Date]])</f>
        <v>2025</v>
      </c>
      <c r="U891">
        <f>SalesData[[#This Row],[Profit]]/SalesData[[#This Row],[Sales]]</f>
        <v>0.17647058823529413</v>
      </c>
    </row>
    <row r="892" spans="1:21" x14ac:dyDescent="0.25">
      <c r="A892" t="s">
        <v>1143</v>
      </c>
      <c r="B892" s="1">
        <v>45745</v>
      </c>
      <c r="C892" t="s">
        <v>466</v>
      </c>
      <c r="D892" t="s">
        <v>29</v>
      </c>
      <c r="E892" t="s">
        <v>20</v>
      </c>
      <c r="F892" t="s">
        <v>21</v>
      </c>
      <c r="G892" t="s">
        <v>22</v>
      </c>
      <c r="H892" t="s">
        <v>32</v>
      </c>
      <c r="I892" t="s">
        <v>72</v>
      </c>
      <c r="J892">
        <v>8</v>
      </c>
      <c r="K892">
        <v>3500</v>
      </c>
      <c r="L892">
        <v>20</v>
      </c>
      <c r="M892">
        <v>22400</v>
      </c>
      <c r="N892">
        <v>19600</v>
      </c>
      <c r="O892">
        <v>2800</v>
      </c>
      <c r="P892" t="s">
        <v>58</v>
      </c>
      <c r="Q892" t="s">
        <v>26</v>
      </c>
      <c r="R892" t="str">
        <f>TEXT(SalesData[[#This Row],[Order Date]],"mmm")</f>
        <v>Mar</v>
      </c>
      <c r="S892" s="2" t="str">
        <f>"Q"&amp;ROUNDUP(MONTH(SalesData[[#This Row],[Order Date]])/3,0)</f>
        <v>Q1</v>
      </c>
      <c r="T892">
        <f>YEAR(SalesData[[#This Row],[Order Date]])</f>
        <v>2025</v>
      </c>
      <c r="U892">
        <f>SalesData[[#This Row],[Profit]]/SalesData[[#This Row],[Sales]]</f>
        <v>0.125</v>
      </c>
    </row>
    <row r="893" spans="1:21" x14ac:dyDescent="0.25">
      <c r="A893" t="s">
        <v>1144</v>
      </c>
      <c r="B893" s="1">
        <v>45777</v>
      </c>
      <c r="C893" t="s">
        <v>152</v>
      </c>
      <c r="D893" t="s">
        <v>29</v>
      </c>
      <c r="E893" t="s">
        <v>44</v>
      </c>
      <c r="F893" t="s">
        <v>45</v>
      </c>
      <c r="G893" t="s">
        <v>22</v>
      </c>
      <c r="H893" t="s">
        <v>32</v>
      </c>
      <c r="I893" t="s">
        <v>80</v>
      </c>
      <c r="J893">
        <v>1</v>
      </c>
      <c r="K893">
        <v>9500</v>
      </c>
      <c r="L893">
        <v>20</v>
      </c>
      <c r="M893">
        <v>7600</v>
      </c>
      <c r="N893">
        <v>6650</v>
      </c>
      <c r="O893">
        <v>950</v>
      </c>
      <c r="P893" t="s">
        <v>54</v>
      </c>
      <c r="Q893" t="s">
        <v>76</v>
      </c>
      <c r="R893" t="str">
        <f>TEXT(SalesData[[#This Row],[Order Date]],"mmm")</f>
        <v>Apr</v>
      </c>
      <c r="S893" s="2" t="str">
        <f>"Q"&amp;ROUNDUP(MONTH(SalesData[[#This Row],[Order Date]])/3,0)</f>
        <v>Q2</v>
      </c>
      <c r="T893">
        <f>YEAR(SalesData[[#This Row],[Order Date]])</f>
        <v>2025</v>
      </c>
      <c r="U893">
        <f>SalesData[[#This Row],[Profit]]/SalesData[[#This Row],[Sales]]</f>
        <v>0.125</v>
      </c>
    </row>
    <row r="894" spans="1:21" x14ac:dyDescent="0.25">
      <c r="A894" t="s">
        <v>1145</v>
      </c>
      <c r="B894" s="1">
        <v>45853</v>
      </c>
      <c r="C894" t="s">
        <v>121</v>
      </c>
      <c r="D894" t="s">
        <v>320</v>
      </c>
      <c r="E894" t="s">
        <v>62</v>
      </c>
      <c r="F894" t="s">
        <v>63</v>
      </c>
      <c r="G894" t="s">
        <v>64</v>
      </c>
      <c r="H894" t="s">
        <v>32</v>
      </c>
      <c r="I894" t="s">
        <v>53</v>
      </c>
      <c r="J894">
        <v>3</v>
      </c>
      <c r="K894">
        <v>8500</v>
      </c>
      <c r="L894">
        <v>15</v>
      </c>
      <c r="M894">
        <v>21675</v>
      </c>
      <c r="N894">
        <v>17850</v>
      </c>
      <c r="O894">
        <v>3825</v>
      </c>
      <c r="P894" t="s">
        <v>58</v>
      </c>
      <c r="Q894" t="s">
        <v>33</v>
      </c>
      <c r="R894" t="str">
        <f>TEXT(SalesData[[#This Row],[Order Date]],"mmm")</f>
        <v>Jul</v>
      </c>
      <c r="S894" s="2" t="str">
        <f>"Q"&amp;ROUNDUP(MONTH(SalesData[[#This Row],[Order Date]])/3,0)</f>
        <v>Q3</v>
      </c>
      <c r="T894">
        <f>YEAR(SalesData[[#This Row],[Order Date]])</f>
        <v>2025</v>
      </c>
      <c r="U894">
        <f>SalesData[[#This Row],[Profit]]/SalesData[[#This Row],[Sales]]</f>
        <v>0.17647058823529413</v>
      </c>
    </row>
    <row r="895" spans="1:21" x14ac:dyDescent="0.25">
      <c r="A895" t="s">
        <v>1146</v>
      </c>
      <c r="B895" s="1">
        <v>45674</v>
      </c>
      <c r="C895" t="s">
        <v>435</v>
      </c>
      <c r="D895" t="s">
        <v>355</v>
      </c>
      <c r="E895" t="s">
        <v>20</v>
      </c>
      <c r="F895" t="s">
        <v>21</v>
      </c>
      <c r="G895" t="s">
        <v>22</v>
      </c>
      <c r="H895" t="s">
        <v>32</v>
      </c>
      <c r="I895" t="s">
        <v>72</v>
      </c>
      <c r="J895">
        <v>8</v>
      </c>
      <c r="K895">
        <v>3500</v>
      </c>
      <c r="L895">
        <v>20</v>
      </c>
      <c r="M895">
        <v>22400</v>
      </c>
      <c r="N895">
        <v>19600</v>
      </c>
      <c r="O895">
        <v>2800</v>
      </c>
      <c r="P895" t="s">
        <v>40</v>
      </c>
      <c r="Q895" t="s">
        <v>33</v>
      </c>
      <c r="R895" t="str">
        <f>TEXT(SalesData[[#This Row],[Order Date]],"mmm")</f>
        <v>Jan</v>
      </c>
      <c r="S895" s="2" t="str">
        <f>"Q"&amp;ROUNDUP(MONTH(SalesData[[#This Row],[Order Date]])/3,0)</f>
        <v>Q1</v>
      </c>
      <c r="T895">
        <f>YEAR(SalesData[[#This Row],[Order Date]])</f>
        <v>2025</v>
      </c>
      <c r="U895">
        <f>SalesData[[#This Row],[Profit]]/SalesData[[#This Row],[Sales]]</f>
        <v>0.125</v>
      </c>
    </row>
    <row r="896" spans="1:21" x14ac:dyDescent="0.25">
      <c r="A896" t="s">
        <v>1147</v>
      </c>
      <c r="B896" s="1">
        <v>46001</v>
      </c>
      <c r="C896" t="s">
        <v>135</v>
      </c>
      <c r="D896" t="s">
        <v>57</v>
      </c>
      <c r="E896" t="s">
        <v>62</v>
      </c>
      <c r="F896" t="s">
        <v>63</v>
      </c>
      <c r="G896" t="s">
        <v>64</v>
      </c>
      <c r="H896" t="s">
        <v>32</v>
      </c>
      <c r="I896" t="s">
        <v>39</v>
      </c>
      <c r="J896">
        <v>9</v>
      </c>
      <c r="K896">
        <v>8500</v>
      </c>
      <c r="L896">
        <v>20</v>
      </c>
      <c r="M896">
        <v>61200</v>
      </c>
      <c r="N896">
        <v>53550</v>
      </c>
      <c r="O896">
        <v>7650</v>
      </c>
      <c r="P896" t="s">
        <v>54</v>
      </c>
      <c r="Q896" t="s">
        <v>26</v>
      </c>
      <c r="R896" t="str">
        <f>TEXT(SalesData[[#This Row],[Order Date]],"mmm")</f>
        <v>Dec</v>
      </c>
      <c r="S896" s="2" t="str">
        <f>"Q"&amp;ROUNDUP(MONTH(SalesData[[#This Row],[Order Date]])/3,0)</f>
        <v>Q4</v>
      </c>
      <c r="T896">
        <f>YEAR(SalesData[[#This Row],[Order Date]])</f>
        <v>2025</v>
      </c>
      <c r="U896">
        <f>SalesData[[#This Row],[Profit]]/SalesData[[#This Row],[Sales]]</f>
        <v>0.125</v>
      </c>
    </row>
    <row r="897" spans="1:21" x14ac:dyDescent="0.25">
      <c r="A897" t="s">
        <v>1148</v>
      </c>
      <c r="B897" s="1">
        <v>45991</v>
      </c>
      <c r="C897" t="s">
        <v>35</v>
      </c>
      <c r="D897" t="s">
        <v>389</v>
      </c>
      <c r="E897" t="s">
        <v>70</v>
      </c>
      <c r="F897" t="s">
        <v>71</v>
      </c>
      <c r="G897" t="s">
        <v>22</v>
      </c>
      <c r="H897" t="s">
        <v>46</v>
      </c>
      <c r="I897" t="s">
        <v>24</v>
      </c>
      <c r="J897">
        <v>2</v>
      </c>
      <c r="K897">
        <v>1500</v>
      </c>
      <c r="L897">
        <v>20</v>
      </c>
      <c r="M897">
        <v>2400</v>
      </c>
      <c r="N897">
        <v>2100</v>
      </c>
      <c r="O897">
        <v>300</v>
      </c>
      <c r="P897" t="s">
        <v>54</v>
      </c>
      <c r="Q897" t="s">
        <v>33</v>
      </c>
      <c r="R897" t="str">
        <f>TEXT(SalesData[[#This Row],[Order Date]],"mmm")</f>
        <v>Nov</v>
      </c>
      <c r="S897" s="2" t="str">
        <f>"Q"&amp;ROUNDUP(MONTH(SalesData[[#This Row],[Order Date]])/3,0)</f>
        <v>Q4</v>
      </c>
      <c r="T897">
        <f>YEAR(SalesData[[#This Row],[Order Date]])</f>
        <v>2025</v>
      </c>
      <c r="U897">
        <f>SalesData[[#This Row],[Profit]]/SalesData[[#This Row],[Sales]]</f>
        <v>0.125</v>
      </c>
    </row>
    <row r="898" spans="1:21" x14ac:dyDescent="0.25">
      <c r="A898" t="s">
        <v>1149</v>
      </c>
      <c r="B898" s="1">
        <v>45897</v>
      </c>
      <c r="C898" t="s">
        <v>469</v>
      </c>
      <c r="D898" t="s">
        <v>665</v>
      </c>
      <c r="E898" t="s">
        <v>30</v>
      </c>
      <c r="F898" t="s">
        <v>31</v>
      </c>
      <c r="G898" t="s">
        <v>22</v>
      </c>
      <c r="H898" t="s">
        <v>32</v>
      </c>
      <c r="I898" t="s">
        <v>24</v>
      </c>
      <c r="J898">
        <v>2</v>
      </c>
      <c r="K898">
        <v>800</v>
      </c>
      <c r="L898">
        <v>0</v>
      </c>
      <c r="M898">
        <v>1600</v>
      </c>
      <c r="N898">
        <v>1120</v>
      </c>
      <c r="O898">
        <v>480</v>
      </c>
      <c r="P898" t="s">
        <v>54</v>
      </c>
      <c r="Q898" t="s">
        <v>33</v>
      </c>
      <c r="R898" t="str">
        <f>TEXT(SalesData[[#This Row],[Order Date]],"mmm")</f>
        <v>Aug</v>
      </c>
      <c r="S898" s="2" t="str">
        <f>"Q"&amp;ROUNDUP(MONTH(SalesData[[#This Row],[Order Date]])/3,0)</f>
        <v>Q3</v>
      </c>
      <c r="T898">
        <f>YEAR(SalesData[[#This Row],[Order Date]])</f>
        <v>2025</v>
      </c>
      <c r="U898">
        <f>SalesData[[#This Row],[Profit]]/SalesData[[#This Row],[Sales]]</f>
        <v>0.3</v>
      </c>
    </row>
    <row r="899" spans="1:21" x14ac:dyDescent="0.25">
      <c r="A899" t="s">
        <v>1150</v>
      </c>
      <c r="B899" s="1">
        <v>45949</v>
      </c>
      <c r="C899" t="s">
        <v>442</v>
      </c>
      <c r="D899" t="s">
        <v>19</v>
      </c>
      <c r="E899" t="s">
        <v>20</v>
      </c>
      <c r="F899" t="s">
        <v>21</v>
      </c>
      <c r="G899" t="s">
        <v>22</v>
      </c>
      <c r="H899" t="s">
        <v>46</v>
      </c>
      <c r="I899" t="s">
        <v>66</v>
      </c>
      <c r="J899">
        <v>8</v>
      </c>
      <c r="K899">
        <v>3500</v>
      </c>
      <c r="L899">
        <v>5</v>
      </c>
      <c r="M899">
        <v>26600</v>
      </c>
      <c r="N899">
        <v>19600</v>
      </c>
      <c r="O899">
        <v>7000</v>
      </c>
      <c r="P899" t="s">
        <v>54</v>
      </c>
      <c r="Q899" t="s">
        <v>26</v>
      </c>
      <c r="R899" t="str">
        <f>TEXT(SalesData[[#This Row],[Order Date]],"mmm")</f>
        <v>Oct</v>
      </c>
      <c r="S899" s="2" t="str">
        <f>"Q"&amp;ROUNDUP(MONTH(SalesData[[#This Row],[Order Date]])/3,0)</f>
        <v>Q4</v>
      </c>
      <c r="T899">
        <f>YEAR(SalesData[[#This Row],[Order Date]])</f>
        <v>2025</v>
      </c>
      <c r="U899">
        <f>SalesData[[#This Row],[Profit]]/SalesData[[#This Row],[Sales]]</f>
        <v>0.26315789473684209</v>
      </c>
    </row>
    <row r="900" spans="1:21" x14ac:dyDescent="0.25">
      <c r="A900" t="s">
        <v>1151</v>
      </c>
      <c r="B900" s="1">
        <v>45990</v>
      </c>
      <c r="C900" t="s">
        <v>381</v>
      </c>
      <c r="D900" t="s">
        <v>275</v>
      </c>
      <c r="E900" t="s">
        <v>30</v>
      </c>
      <c r="F900" t="s">
        <v>31</v>
      </c>
      <c r="G900" t="s">
        <v>22</v>
      </c>
      <c r="H900" t="s">
        <v>23</v>
      </c>
      <c r="I900" t="s">
        <v>39</v>
      </c>
      <c r="J900">
        <v>1</v>
      </c>
      <c r="K900">
        <v>800</v>
      </c>
      <c r="L900">
        <v>20</v>
      </c>
      <c r="M900">
        <v>640</v>
      </c>
      <c r="N900">
        <v>560</v>
      </c>
      <c r="O900">
        <v>80</v>
      </c>
      <c r="P900" t="s">
        <v>40</v>
      </c>
      <c r="Q900" t="s">
        <v>33</v>
      </c>
      <c r="R900" t="str">
        <f>TEXT(SalesData[[#This Row],[Order Date]],"mmm")</f>
        <v>Nov</v>
      </c>
      <c r="S900" s="2" t="str">
        <f>"Q"&amp;ROUNDUP(MONTH(SalesData[[#This Row],[Order Date]])/3,0)</f>
        <v>Q4</v>
      </c>
      <c r="T900">
        <f>YEAR(SalesData[[#This Row],[Order Date]])</f>
        <v>2025</v>
      </c>
      <c r="U900">
        <f>SalesData[[#This Row],[Profit]]/SalesData[[#This Row],[Sales]]</f>
        <v>0.125</v>
      </c>
    </row>
    <row r="901" spans="1:21" x14ac:dyDescent="0.25">
      <c r="A901" t="s">
        <v>1152</v>
      </c>
      <c r="B901" s="1">
        <v>45689</v>
      </c>
      <c r="C901" t="s">
        <v>115</v>
      </c>
      <c r="D901" t="s">
        <v>305</v>
      </c>
      <c r="E901" t="s">
        <v>70</v>
      </c>
      <c r="F901" t="s">
        <v>71</v>
      </c>
      <c r="G901" t="s">
        <v>22</v>
      </c>
      <c r="H901" t="s">
        <v>65</v>
      </c>
      <c r="I901" t="s">
        <v>39</v>
      </c>
      <c r="J901">
        <v>5</v>
      </c>
      <c r="K901">
        <v>1500</v>
      </c>
      <c r="L901">
        <v>20</v>
      </c>
      <c r="M901">
        <v>6000</v>
      </c>
      <c r="N901">
        <v>5250</v>
      </c>
      <c r="O901">
        <v>750</v>
      </c>
      <c r="P901" t="s">
        <v>40</v>
      </c>
      <c r="Q901" t="s">
        <v>76</v>
      </c>
      <c r="R901" t="str">
        <f>TEXT(SalesData[[#This Row],[Order Date]],"mmm")</f>
        <v>Feb</v>
      </c>
      <c r="S901" s="2" t="str">
        <f>"Q"&amp;ROUNDUP(MONTH(SalesData[[#This Row],[Order Date]])/3,0)</f>
        <v>Q1</v>
      </c>
      <c r="T901">
        <f>YEAR(SalesData[[#This Row],[Order Date]])</f>
        <v>2025</v>
      </c>
      <c r="U901">
        <f>SalesData[[#This Row],[Profit]]/SalesData[[#This Row],[Sales]]</f>
        <v>0.125</v>
      </c>
    </row>
    <row r="902" spans="1:21" x14ac:dyDescent="0.25">
      <c r="A902" t="s">
        <v>1153</v>
      </c>
      <c r="B902" s="1">
        <v>45751</v>
      </c>
      <c r="C902" t="s">
        <v>74</v>
      </c>
      <c r="D902" t="s">
        <v>275</v>
      </c>
      <c r="E902" t="s">
        <v>20</v>
      </c>
      <c r="F902" t="s">
        <v>21</v>
      </c>
      <c r="G902" t="s">
        <v>22</v>
      </c>
      <c r="H902" t="s">
        <v>46</v>
      </c>
      <c r="I902" t="s">
        <v>24</v>
      </c>
      <c r="J902">
        <v>5</v>
      </c>
      <c r="K902">
        <v>3500</v>
      </c>
      <c r="L902">
        <v>10</v>
      </c>
      <c r="M902">
        <v>15750</v>
      </c>
      <c r="N902">
        <v>12250</v>
      </c>
      <c r="O902">
        <v>3500</v>
      </c>
      <c r="P902" t="s">
        <v>25</v>
      </c>
      <c r="Q902" t="s">
        <v>76</v>
      </c>
      <c r="R902" t="str">
        <f>TEXT(SalesData[[#This Row],[Order Date]],"mmm")</f>
        <v>Apr</v>
      </c>
      <c r="S902" s="2" t="str">
        <f>"Q"&amp;ROUNDUP(MONTH(SalesData[[#This Row],[Order Date]])/3,0)</f>
        <v>Q2</v>
      </c>
      <c r="T902">
        <f>YEAR(SalesData[[#This Row],[Order Date]])</f>
        <v>2025</v>
      </c>
      <c r="U902">
        <f>SalesData[[#This Row],[Profit]]/SalesData[[#This Row],[Sales]]</f>
        <v>0.22222222222222221</v>
      </c>
    </row>
    <row r="903" spans="1:21" x14ac:dyDescent="0.25">
      <c r="A903" t="s">
        <v>1154</v>
      </c>
      <c r="B903" s="1">
        <v>45754</v>
      </c>
      <c r="C903" t="s">
        <v>18</v>
      </c>
      <c r="D903" t="s">
        <v>161</v>
      </c>
      <c r="E903" t="s">
        <v>62</v>
      </c>
      <c r="F903" t="s">
        <v>63</v>
      </c>
      <c r="G903" t="s">
        <v>64</v>
      </c>
      <c r="H903" t="s">
        <v>65</v>
      </c>
      <c r="I903" t="s">
        <v>53</v>
      </c>
      <c r="J903">
        <v>4</v>
      </c>
      <c r="K903">
        <v>8500</v>
      </c>
      <c r="L903">
        <v>10</v>
      </c>
      <c r="M903">
        <v>30600</v>
      </c>
      <c r="N903">
        <v>23800</v>
      </c>
      <c r="O903">
        <v>6800</v>
      </c>
      <c r="P903" t="s">
        <v>58</v>
      </c>
      <c r="Q903" t="s">
        <v>33</v>
      </c>
      <c r="R903" t="str">
        <f>TEXT(SalesData[[#This Row],[Order Date]],"mmm")</f>
        <v>Apr</v>
      </c>
      <c r="S903" s="2" t="str">
        <f>"Q"&amp;ROUNDUP(MONTH(SalesData[[#This Row],[Order Date]])/3,0)</f>
        <v>Q2</v>
      </c>
      <c r="T903">
        <f>YEAR(SalesData[[#This Row],[Order Date]])</f>
        <v>2025</v>
      </c>
      <c r="U903">
        <f>SalesData[[#This Row],[Profit]]/SalesData[[#This Row],[Sales]]</f>
        <v>0.22222222222222221</v>
      </c>
    </row>
    <row r="904" spans="1:21" x14ac:dyDescent="0.25">
      <c r="A904" t="s">
        <v>1155</v>
      </c>
      <c r="B904" s="1">
        <v>45660</v>
      </c>
      <c r="C904" t="s">
        <v>348</v>
      </c>
      <c r="D904" t="s">
        <v>166</v>
      </c>
      <c r="E904" t="s">
        <v>93</v>
      </c>
      <c r="F904" t="s">
        <v>94</v>
      </c>
      <c r="G904" t="s">
        <v>64</v>
      </c>
      <c r="H904" t="s">
        <v>65</v>
      </c>
      <c r="I904" t="s">
        <v>39</v>
      </c>
      <c r="J904">
        <v>1</v>
      </c>
      <c r="K904">
        <v>4500</v>
      </c>
      <c r="L904">
        <v>15</v>
      </c>
      <c r="M904">
        <v>3825</v>
      </c>
      <c r="N904">
        <v>3150</v>
      </c>
      <c r="O904">
        <v>675</v>
      </c>
      <c r="P904" t="s">
        <v>58</v>
      </c>
      <c r="Q904" t="s">
        <v>26</v>
      </c>
      <c r="R904" t="str">
        <f>TEXT(SalesData[[#This Row],[Order Date]],"mmm")</f>
        <v>Jan</v>
      </c>
      <c r="S904" s="2" t="str">
        <f>"Q"&amp;ROUNDUP(MONTH(SalesData[[#This Row],[Order Date]])/3,0)</f>
        <v>Q1</v>
      </c>
      <c r="T904">
        <f>YEAR(SalesData[[#This Row],[Order Date]])</f>
        <v>2025</v>
      </c>
      <c r="U904">
        <f>SalesData[[#This Row],[Profit]]/SalesData[[#This Row],[Sales]]</f>
        <v>0.17647058823529413</v>
      </c>
    </row>
    <row r="905" spans="1:21" x14ac:dyDescent="0.25">
      <c r="A905" t="s">
        <v>1156</v>
      </c>
      <c r="B905" s="1">
        <v>45991</v>
      </c>
      <c r="C905" t="s">
        <v>283</v>
      </c>
      <c r="D905" t="s">
        <v>191</v>
      </c>
      <c r="E905" t="s">
        <v>70</v>
      </c>
      <c r="F905" t="s">
        <v>71</v>
      </c>
      <c r="G905" t="s">
        <v>22</v>
      </c>
      <c r="H905" t="s">
        <v>32</v>
      </c>
      <c r="I905" t="s">
        <v>66</v>
      </c>
      <c r="J905">
        <v>6</v>
      </c>
      <c r="K905">
        <v>1500</v>
      </c>
      <c r="L905">
        <v>0</v>
      </c>
      <c r="M905">
        <v>9000</v>
      </c>
      <c r="N905">
        <v>6300</v>
      </c>
      <c r="O905">
        <v>2700</v>
      </c>
      <c r="P905" t="s">
        <v>40</v>
      </c>
      <c r="Q905" t="s">
        <v>26</v>
      </c>
      <c r="R905" t="str">
        <f>TEXT(SalesData[[#This Row],[Order Date]],"mmm")</f>
        <v>Nov</v>
      </c>
      <c r="S905" s="2" t="str">
        <f>"Q"&amp;ROUNDUP(MONTH(SalesData[[#This Row],[Order Date]])/3,0)</f>
        <v>Q4</v>
      </c>
      <c r="T905">
        <f>YEAR(SalesData[[#This Row],[Order Date]])</f>
        <v>2025</v>
      </c>
      <c r="U905">
        <f>SalesData[[#This Row],[Profit]]/SalesData[[#This Row],[Sales]]</f>
        <v>0.3</v>
      </c>
    </row>
    <row r="906" spans="1:21" x14ac:dyDescent="0.25">
      <c r="A906" t="s">
        <v>1157</v>
      </c>
      <c r="B906" s="1">
        <v>45759</v>
      </c>
      <c r="C906" t="s">
        <v>381</v>
      </c>
      <c r="D906" t="s">
        <v>97</v>
      </c>
      <c r="E906" t="s">
        <v>30</v>
      </c>
      <c r="F906" t="s">
        <v>31</v>
      </c>
      <c r="G906" t="s">
        <v>22</v>
      </c>
      <c r="H906" t="s">
        <v>32</v>
      </c>
      <c r="I906" t="s">
        <v>24</v>
      </c>
      <c r="J906">
        <v>9</v>
      </c>
      <c r="K906">
        <v>800</v>
      </c>
      <c r="L906">
        <v>10</v>
      </c>
      <c r="M906">
        <v>6480</v>
      </c>
      <c r="N906">
        <v>5040</v>
      </c>
      <c r="O906">
        <v>1440</v>
      </c>
      <c r="P906" t="s">
        <v>54</v>
      </c>
      <c r="Q906" t="s">
        <v>33</v>
      </c>
      <c r="R906" t="str">
        <f>TEXT(SalesData[[#This Row],[Order Date]],"mmm")</f>
        <v>Apr</v>
      </c>
      <c r="S906" s="2" t="str">
        <f>"Q"&amp;ROUNDUP(MONTH(SalesData[[#This Row],[Order Date]])/3,0)</f>
        <v>Q2</v>
      </c>
      <c r="T906">
        <f>YEAR(SalesData[[#This Row],[Order Date]])</f>
        <v>2025</v>
      </c>
      <c r="U906">
        <f>SalesData[[#This Row],[Profit]]/SalesData[[#This Row],[Sales]]</f>
        <v>0.22222222222222221</v>
      </c>
    </row>
    <row r="907" spans="1:21" x14ac:dyDescent="0.25">
      <c r="A907" t="s">
        <v>1158</v>
      </c>
      <c r="B907" s="1">
        <v>45888</v>
      </c>
      <c r="C907" t="s">
        <v>85</v>
      </c>
      <c r="D907" t="s">
        <v>921</v>
      </c>
      <c r="E907" t="s">
        <v>62</v>
      </c>
      <c r="F907" t="s">
        <v>63</v>
      </c>
      <c r="G907" t="s">
        <v>64</v>
      </c>
      <c r="H907" t="s">
        <v>46</v>
      </c>
      <c r="I907" t="s">
        <v>39</v>
      </c>
      <c r="J907">
        <v>7</v>
      </c>
      <c r="K907">
        <v>8500</v>
      </c>
      <c r="L907">
        <v>15</v>
      </c>
      <c r="M907">
        <v>50575</v>
      </c>
      <c r="N907">
        <v>41650</v>
      </c>
      <c r="O907">
        <v>8925</v>
      </c>
      <c r="P907" t="s">
        <v>25</v>
      </c>
      <c r="Q907" t="s">
        <v>26</v>
      </c>
      <c r="R907" t="str">
        <f>TEXT(SalesData[[#This Row],[Order Date]],"mmm")</f>
        <v>Aug</v>
      </c>
      <c r="S907" s="2" t="str">
        <f>"Q"&amp;ROUNDUP(MONTH(SalesData[[#This Row],[Order Date]])/3,0)</f>
        <v>Q3</v>
      </c>
      <c r="T907">
        <f>YEAR(SalesData[[#This Row],[Order Date]])</f>
        <v>2025</v>
      </c>
      <c r="U907">
        <f>SalesData[[#This Row],[Profit]]/SalesData[[#This Row],[Sales]]</f>
        <v>0.17647058823529413</v>
      </c>
    </row>
    <row r="908" spans="1:21" x14ac:dyDescent="0.25">
      <c r="A908" t="s">
        <v>1159</v>
      </c>
      <c r="B908" s="1">
        <v>45956</v>
      </c>
      <c r="C908" t="s">
        <v>85</v>
      </c>
      <c r="D908" t="s">
        <v>199</v>
      </c>
      <c r="E908" t="s">
        <v>44</v>
      </c>
      <c r="F908" t="s">
        <v>45</v>
      </c>
      <c r="G908" t="s">
        <v>22</v>
      </c>
      <c r="H908" t="s">
        <v>32</v>
      </c>
      <c r="I908" t="s">
        <v>66</v>
      </c>
      <c r="J908">
        <v>3</v>
      </c>
      <c r="K908">
        <v>9500</v>
      </c>
      <c r="L908">
        <v>10</v>
      </c>
      <c r="M908">
        <v>25650</v>
      </c>
      <c r="N908">
        <v>19950</v>
      </c>
      <c r="O908">
        <v>5700</v>
      </c>
      <c r="P908" t="s">
        <v>54</v>
      </c>
      <c r="Q908" t="s">
        <v>26</v>
      </c>
      <c r="R908" t="str">
        <f>TEXT(SalesData[[#This Row],[Order Date]],"mmm")</f>
        <v>Oct</v>
      </c>
      <c r="S908" s="2" t="str">
        <f>"Q"&amp;ROUNDUP(MONTH(SalesData[[#This Row],[Order Date]])/3,0)</f>
        <v>Q4</v>
      </c>
      <c r="T908">
        <f>YEAR(SalesData[[#This Row],[Order Date]])</f>
        <v>2025</v>
      </c>
      <c r="U908">
        <f>SalesData[[#This Row],[Profit]]/SalesData[[#This Row],[Sales]]</f>
        <v>0.22222222222222221</v>
      </c>
    </row>
    <row r="909" spans="1:21" x14ac:dyDescent="0.25">
      <c r="A909" t="s">
        <v>1160</v>
      </c>
      <c r="B909" s="1">
        <v>45817</v>
      </c>
      <c r="C909" t="s">
        <v>216</v>
      </c>
      <c r="D909" t="s">
        <v>113</v>
      </c>
      <c r="E909" t="s">
        <v>37</v>
      </c>
      <c r="F909" t="s">
        <v>38</v>
      </c>
      <c r="G909" t="s">
        <v>22</v>
      </c>
      <c r="H909" t="s">
        <v>65</v>
      </c>
      <c r="I909" t="s">
        <v>66</v>
      </c>
      <c r="J909">
        <v>3</v>
      </c>
      <c r="K909">
        <v>55000</v>
      </c>
      <c r="L909">
        <v>5</v>
      </c>
      <c r="M909">
        <v>156750</v>
      </c>
      <c r="N909">
        <v>115500</v>
      </c>
      <c r="O909">
        <v>41250.000000000007</v>
      </c>
      <c r="P909" t="s">
        <v>58</v>
      </c>
      <c r="Q909" t="s">
        <v>26</v>
      </c>
      <c r="R909" t="str">
        <f>TEXT(SalesData[[#This Row],[Order Date]],"mmm")</f>
        <v>Jun</v>
      </c>
      <c r="S909" s="2" t="str">
        <f>"Q"&amp;ROUNDUP(MONTH(SalesData[[#This Row],[Order Date]])/3,0)</f>
        <v>Q2</v>
      </c>
      <c r="T909">
        <f>YEAR(SalesData[[#This Row],[Order Date]])</f>
        <v>2025</v>
      </c>
      <c r="U909">
        <f>SalesData[[#This Row],[Profit]]/SalesData[[#This Row],[Sales]]</f>
        <v>0.26315789473684215</v>
      </c>
    </row>
    <row r="910" spans="1:21" x14ac:dyDescent="0.25">
      <c r="A910" t="s">
        <v>1161</v>
      </c>
      <c r="B910" s="1">
        <v>45852</v>
      </c>
      <c r="C910" t="s">
        <v>268</v>
      </c>
      <c r="D910" t="s">
        <v>230</v>
      </c>
      <c r="E910" t="s">
        <v>93</v>
      </c>
      <c r="F910" t="s">
        <v>94</v>
      </c>
      <c r="G910" t="s">
        <v>64</v>
      </c>
      <c r="H910" t="s">
        <v>46</v>
      </c>
      <c r="I910" t="s">
        <v>66</v>
      </c>
      <c r="J910">
        <v>8</v>
      </c>
      <c r="K910">
        <v>4500</v>
      </c>
      <c r="L910">
        <v>15</v>
      </c>
      <c r="M910">
        <v>30600</v>
      </c>
      <c r="N910">
        <v>25200</v>
      </c>
      <c r="O910">
        <v>5400</v>
      </c>
      <c r="P910" t="s">
        <v>58</v>
      </c>
      <c r="Q910" t="s">
        <v>33</v>
      </c>
      <c r="R910" t="str">
        <f>TEXT(SalesData[[#This Row],[Order Date]],"mmm")</f>
        <v>Jul</v>
      </c>
      <c r="S910" s="2" t="str">
        <f>"Q"&amp;ROUNDUP(MONTH(SalesData[[#This Row],[Order Date]])/3,0)</f>
        <v>Q3</v>
      </c>
      <c r="T910">
        <f>YEAR(SalesData[[#This Row],[Order Date]])</f>
        <v>2025</v>
      </c>
      <c r="U910">
        <f>SalesData[[#This Row],[Profit]]/SalesData[[#This Row],[Sales]]</f>
        <v>0.17647058823529413</v>
      </c>
    </row>
    <row r="911" spans="1:21" x14ac:dyDescent="0.25">
      <c r="A911" t="s">
        <v>1162</v>
      </c>
      <c r="B911" s="1">
        <v>46001</v>
      </c>
      <c r="C911" t="s">
        <v>291</v>
      </c>
      <c r="D911" t="s">
        <v>75</v>
      </c>
      <c r="E911" t="s">
        <v>70</v>
      </c>
      <c r="F911" t="s">
        <v>71</v>
      </c>
      <c r="G911" t="s">
        <v>22</v>
      </c>
      <c r="H911" t="s">
        <v>23</v>
      </c>
      <c r="I911" t="s">
        <v>72</v>
      </c>
      <c r="J911">
        <v>9</v>
      </c>
      <c r="K911">
        <v>1500</v>
      </c>
      <c r="L911">
        <v>10</v>
      </c>
      <c r="M911">
        <v>12150</v>
      </c>
      <c r="N911">
        <v>9450</v>
      </c>
      <c r="O911">
        <v>2700</v>
      </c>
      <c r="P911" t="s">
        <v>54</v>
      </c>
      <c r="Q911" t="s">
        <v>76</v>
      </c>
      <c r="R911" t="str">
        <f>TEXT(SalesData[[#This Row],[Order Date]],"mmm")</f>
        <v>Dec</v>
      </c>
      <c r="S911" s="2" t="str">
        <f>"Q"&amp;ROUNDUP(MONTH(SalesData[[#This Row],[Order Date]])/3,0)</f>
        <v>Q4</v>
      </c>
      <c r="T911">
        <f>YEAR(SalesData[[#This Row],[Order Date]])</f>
        <v>2025</v>
      </c>
      <c r="U911">
        <f>SalesData[[#This Row],[Profit]]/SalesData[[#This Row],[Sales]]</f>
        <v>0.22222222222222221</v>
      </c>
    </row>
    <row r="912" spans="1:21" x14ac:dyDescent="0.25">
      <c r="A912" t="s">
        <v>1163</v>
      </c>
      <c r="B912" s="1">
        <v>45921</v>
      </c>
      <c r="C912" t="s">
        <v>82</v>
      </c>
      <c r="D912" t="s">
        <v>188</v>
      </c>
      <c r="E912" t="s">
        <v>30</v>
      </c>
      <c r="F912" t="s">
        <v>31</v>
      </c>
      <c r="G912" t="s">
        <v>22</v>
      </c>
      <c r="H912" t="s">
        <v>65</v>
      </c>
      <c r="I912" t="s">
        <v>80</v>
      </c>
      <c r="J912">
        <v>3</v>
      </c>
      <c r="K912">
        <v>800</v>
      </c>
      <c r="L912">
        <v>5</v>
      </c>
      <c r="M912">
        <v>2280</v>
      </c>
      <c r="N912">
        <v>1680</v>
      </c>
      <c r="O912">
        <v>600</v>
      </c>
      <c r="P912" t="s">
        <v>58</v>
      </c>
      <c r="Q912" t="s">
        <v>33</v>
      </c>
      <c r="R912" t="str">
        <f>TEXT(SalesData[[#This Row],[Order Date]],"mmm")</f>
        <v>Sep</v>
      </c>
      <c r="S912" s="2" t="str">
        <f>"Q"&amp;ROUNDUP(MONTH(SalesData[[#This Row],[Order Date]])/3,0)</f>
        <v>Q3</v>
      </c>
      <c r="T912">
        <f>YEAR(SalesData[[#This Row],[Order Date]])</f>
        <v>2025</v>
      </c>
      <c r="U912">
        <f>SalesData[[#This Row],[Profit]]/SalesData[[#This Row],[Sales]]</f>
        <v>0.26315789473684209</v>
      </c>
    </row>
    <row r="913" spans="1:21" x14ac:dyDescent="0.25">
      <c r="A913" t="s">
        <v>1164</v>
      </c>
      <c r="B913" s="1">
        <v>45850</v>
      </c>
      <c r="C913" t="s">
        <v>367</v>
      </c>
      <c r="D913" t="s">
        <v>247</v>
      </c>
      <c r="E913" t="s">
        <v>30</v>
      </c>
      <c r="F913" t="s">
        <v>31</v>
      </c>
      <c r="G913" t="s">
        <v>22</v>
      </c>
      <c r="H913" t="s">
        <v>65</v>
      </c>
      <c r="I913" t="s">
        <v>66</v>
      </c>
      <c r="J913">
        <v>8</v>
      </c>
      <c r="K913">
        <v>800</v>
      </c>
      <c r="L913">
        <v>0</v>
      </c>
      <c r="M913">
        <v>6400</v>
      </c>
      <c r="N913">
        <v>4480</v>
      </c>
      <c r="O913">
        <v>1920</v>
      </c>
      <c r="P913" t="s">
        <v>54</v>
      </c>
      <c r="Q913" t="s">
        <v>26</v>
      </c>
      <c r="R913" t="str">
        <f>TEXT(SalesData[[#This Row],[Order Date]],"mmm")</f>
        <v>Jul</v>
      </c>
      <c r="S913" s="2" t="str">
        <f>"Q"&amp;ROUNDUP(MONTH(SalesData[[#This Row],[Order Date]])/3,0)</f>
        <v>Q3</v>
      </c>
      <c r="T913">
        <f>YEAR(SalesData[[#This Row],[Order Date]])</f>
        <v>2025</v>
      </c>
      <c r="U913">
        <f>SalesData[[#This Row],[Profit]]/SalesData[[#This Row],[Sales]]</f>
        <v>0.3</v>
      </c>
    </row>
    <row r="914" spans="1:21" x14ac:dyDescent="0.25">
      <c r="A914" t="s">
        <v>1165</v>
      </c>
      <c r="B914" s="1">
        <v>45698</v>
      </c>
      <c r="C914" t="s">
        <v>99</v>
      </c>
      <c r="D914" t="s">
        <v>408</v>
      </c>
      <c r="E914" t="s">
        <v>70</v>
      </c>
      <c r="F914" t="s">
        <v>71</v>
      </c>
      <c r="G914" t="s">
        <v>22</v>
      </c>
      <c r="H914" t="s">
        <v>23</v>
      </c>
      <c r="I914" t="s">
        <v>53</v>
      </c>
      <c r="J914">
        <v>5</v>
      </c>
      <c r="K914">
        <v>1500</v>
      </c>
      <c r="L914">
        <v>5</v>
      </c>
      <c r="M914">
        <v>7125</v>
      </c>
      <c r="N914">
        <v>5250</v>
      </c>
      <c r="O914">
        <v>1875</v>
      </c>
      <c r="P914" t="s">
        <v>40</v>
      </c>
      <c r="Q914" t="s">
        <v>26</v>
      </c>
      <c r="R914" t="str">
        <f>TEXT(SalesData[[#This Row],[Order Date]],"mmm")</f>
        <v>Feb</v>
      </c>
      <c r="S914" s="2" t="str">
        <f>"Q"&amp;ROUNDUP(MONTH(SalesData[[#This Row],[Order Date]])/3,0)</f>
        <v>Q1</v>
      </c>
      <c r="T914">
        <f>YEAR(SalesData[[#This Row],[Order Date]])</f>
        <v>2025</v>
      </c>
      <c r="U914">
        <f>SalesData[[#This Row],[Profit]]/SalesData[[#This Row],[Sales]]</f>
        <v>0.26315789473684209</v>
      </c>
    </row>
    <row r="915" spans="1:21" x14ac:dyDescent="0.25">
      <c r="A915" t="s">
        <v>1166</v>
      </c>
      <c r="B915" s="1">
        <v>45999</v>
      </c>
      <c r="C915" t="s">
        <v>676</v>
      </c>
      <c r="D915" t="s">
        <v>166</v>
      </c>
      <c r="E915" t="s">
        <v>30</v>
      </c>
      <c r="F915" t="s">
        <v>31</v>
      </c>
      <c r="G915" t="s">
        <v>22</v>
      </c>
      <c r="H915" t="s">
        <v>46</v>
      </c>
      <c r="I915" t="s">
        <v>72</v>
      </c>
      <c r="J915">
        <v>4</v>
      </c>
      <c r="K915">
        <v>800</v>
      </c>
      <c r="L915">
        <v>5</v>
      </c>
      <c r="M915">
        <v>3040</v>
      </c>
      <c r="N915">
        <v>2240</v>
      </c>
      <c r="O915">
        <v>800</v>
      </c>
      <c r="P915" t="s">
        <v>58</v>
      </c>
      <c r="Q915" t="s">
        <v>26</v>
      </c>
      <c r="R915" t="str">
        <f>TEXT(SalesData[[#This Row],[Order Date]],"mmm")</f>
        <v>Dec</v>
      </c>
      <c r="S915" s="2" t="str">
        <f>"Q"&amp;ROUNDUP(MONTH(SalesData[[#This Row],[Order Date]])/3,0)</f>
        <v>Q4</v>
      </c>
      <c r="T915">
        <f>YEAR(SalesData[[#This Row],[Order Date]])</f>
        <v>2025</v>
      </c>
      <c r="U915">
        <f>SalesData[[#This Row],[Profit]]/SalesData[[#This Row],[Sales]]</f>
        <v>0.26315789473684209</v>
      </c>
    </row>
    <row r="916" spans="1:21" x14ac:dyDescent="0.25">
      <c r="A916" t="s">
        <v>1167</v>
      </c>
      <c r="B916" s="1">
        <v>45889</v>
      </c>
      <c r="C916" t="s">
        <v>42</v>
      </c>
      <c r="D916" t="s">
        <v>338</v>
      </c>
      <c r="E916" t="s">
        <v>37</v>
      </c>
      <c r="F916" t="s">
        <v>38</v>
      </c>
      <c r="G916" t="s">
        <v>22</v>
      </c>
      <c r="H916" t="s">
        <v>23</v>
      </c>
      <c r="I916" t="s">
        <v>72</v>
      </c>
      <c r="J916">
        <v>4</v>
      </c>
      <c r="K916">
        <v>55000</v>
      </c>
      <c r="L916">
        <v>5</v>
      </c>
      <c r="M916">
        <v>209000</v>
      </c>
      <c r="N916">
        <v>154000</v>
      </c>
      <c r="O916">
        <v>55000</v>
      </c>
      <c r="P916" t="s">
        <v>25</v>
      </c>
      <c r="Q916" t="s">
        <v>26</v>
      </c>
      <c r="R916" t="str">
        <f>TEXT(SalesData[[#This Row],[Order Date]],"mmm")</f>
        <v>Aug</v>
      </c>
      <c r="S916" s="2" t="str">
        <f>"Q"&amp;ROUNDUP(MONTH(SalesData[[#This Row],[Order Date]])/3,0)</f>
        <v>Q3</v>
      </c>
      <c r="T916">
        <f>YEAR(SalesData[[#This Row],[Order Date]])</f>
        <v>2025</v>
      </c>
      <c r="U916">
        <f>SalesData[[#This Row],[Profit]]/SalesData[[#This Row],[Sales]]</f>
        <v>0.26315789473684209</v>
      </c>
    </row>
    <row r="917" spans="1:21" x14ac:dyDescent="0.25">
      <c r="A917" t="s">
        <v>1168</v>
      </c>
      <c r="B917" s="1">
        <v>45722</v>
      </c>
      <c r="C917" t="s">
        <v>219</v>
      </c>
      <c r="D917" t="s">
        <v>49</v>
      </c>
      <c r="E917" t="s">
        <v>37</v>
      </c>
      <c r="F917" t="s">
        <v>38</v>
      </c>
      <c r="G917" t="s">
        <v>22</v>
      </c>
      <c r="H917" t="s">
        <v>65</v>
      </c>
      <c r="I917" t="s">
        <v>53</v>
      </c>
      <c r="J917">
        <v>1</v>
      </c>
      <c r="K917">
        <v>55000</v>
      </c>
      <c r="L917">
        <v>20</v>
      </c>
      <c r="M917">
        <v>44000</v>
      </c>
      <c r="N917">
        <v>38500</v>
      </c>
      <c r="O917">
        <v>5500</v>
      </c>
      <c r="P917" t="s">
        <v>58</v>
      </c>
      <c r="Q917" t="s">
        <v>26</v>
      </c>
      <c r="R917" t="str">
        <f>TEXT(SalesData[[#This Row],[Order Date]],"mmm")</f>
        <v>Mar</v>
      </c>
      <c r="S917" s="2" t="str">
        <f>"Q"&amp;ROUNDUP(MONTH(SalesData[[#This Row],[Order Date]])/3,0)</f>
        <v>Q1</v>
      </c>
      <c r="T917">
        <f>YEAR(SalesData[[#This Row],[Order Date]])</f>
        <v>2025</v>
      </c>
      <c r="U917">
        <f>SalesData[[#This Row],[Profit]]/SalesData[[#This Row],[Sales]]</f>
        <v>0.125</v>
      </c>
    </row>
    <row r="918" spans="1:21" x14ac:dyDescent="0.25">
      <c r="A918" t="s">
        <v>1169</v>
      </c>
      <c r="B918" s="1">
        <v>45881</v>
      </c>
      <c r="C918" t="s">
        <v>237</v>
      </c>
      <c r="D918" t="s">
        <v>350</v>
      </c>
      <c r="E918" t="s">
        <v>20</v>
      </c>
      <c r="F918" t="s">
        <v>21</v>
      </c>
      <c r="G918" t="s">
        <v>22</v>
      </c>
      <c r="H918" t="s">
        <v>46</v>
      </c>
      <c r="I918" t="s">
        <v>80</v>
      </c>
      <c r="J918">
        <v>5</v>
      </c>
      <c r="K918">
        <v>3500</v>
      </c>
      <c r="L918">
        <v>20</v>
      </c>
      <c r="M918">
        <v>14000</v>
      </c>
      <c r="N918">
        <v>12250</v>
      </c>
      <c r="O918">
        <v>1750</v>
      </c>
      <c r="P918" t="s">
        <v>58</v>
      </c>
      <c r="Q918" t="s">
        <v>76</v>
      </c>
      <c r="R918" t="str">
        <f>TEXT(SalesData[[#This Row],[Order Date]],"mmm")</f>
        <v>Aug</v>
      </c>
      <c r="S918" s="2" t="str">
        <f>"Q"&amp;ROUNDUP(MONTH(SalesData[[#This Row],[Order Date]])/3,0)</f>
        <v>Q3</v>
      </c>
      <c r="T918">
        <f>YEAR(SalesData[[#This Row],[Order Date]])</f>
        <v>2025</v>
      </c>
      <c r="U918">
        <f>SalesData[[#This Row],[Profit]]/SalesData[[#This Row],[Sales]]</f>
        <v>0.125</v>
      </c>
    </row>
    <row r="919" spans="1:21" x14ac:dyDescent="0.25">
      <c r="A919" t="s">
        <v>1170</v>
      </c>
      <c r="B919" s="1">
        <v>45805</v>
      </c>
      <c r="C919" t="s">
        <v>195</v>
      </c>
      <c r="D919" t="s">
        <v>670</v>
      </c>
      <c r="E919" t="s">
        <v>62</v>
      </c>
      <c r="F919" t="s">
        <v>63</v>
      </c>
      <c r="G919" t="s">
        <v>64</v>
      </c>
      <c r="H919" t="s">
        <v>65</v>
      </c>
      <c r="I919" t="s">
        <v>39</v>
      </c>
      <c r="J919">
        <v>4</v>
      </c>
      <c r="K919">
        <v>8500</v>
      </c>
      <c r="L919">
        <v>15</v>
      </c>
      <c r="M919">
        <v>28900</v>
      </c>
      <c r="N919">
        <v>23800</v>
      </c>
      <c r="O919">
        <v>5100</v>
      </c>
      <c r="P919" t="s">
        <v>40</v>
      </c>
      <c r="Q919" t="s">
        <v>26</v>
      </c>
      <c r="R919" t="str">
        <f>TEXT(SalesData[[#This Row],[Order Date]],"mmm")</f>
        <v>May</v>
      </c>
      <c r="S919" s="2" t="str">
        <f>"Q"&amp;ROUNDUP(MONTH(SalesData[[#This Row],[Order Date]])/3,0)</f>
        <v>Q2</v>
      </c>
      <c r="T919">
        <f>YEAR(SalesData[[#This Row],[Order Date]])</f>
        <v>2025</v>
      </c>
      <c r="U919">
        <f>SalesData[[#This Row],[Profit]]/SalesData[[#This Row],[Sales]]</f>
        <v>0.17647058823529413</v>
      </c>
    </row>
    <row r="920" spans="1:21" x14ac:dyDescent="0.25">
      <c r="A920" t="s">
        <v>1171</v>
      </c>
      <c r="B920" s="1">
        <v>45939</v>
      </c>
      <c r="C920" t="s">
        <v>157</v>
      </c>
      <c r="D920" t="s">
        <v>199</v>
      </c>
      <c r="E920" t="s">
        <v>62</v>
      </c>
      <c r="F920" t="s">
        <v>63</v>
      </c>
      <c r="G920" t="s">
        <v>64</v>
      </c>
      <c r="H920" t="s">
        <v>65</v>
      </c>
      <c r="I920" t="s">
        <v>53</v>
      </c>
      <c r="J920">
        <v>6</v>
      </c>
      <c r="K920">
        <v>8500</v>
      </c>
      <c r="L920">
        <v>20</v>
      </c>
      <c r="M920">
        <v>40800</v>
      </c>
      <c r="N920">
        <v>35700</v>
      </c>
      <c r="O920">
        <v>5100</v>
      </c>
      <c r="P920" t="s">
        <v>40</v>
      </c>
      <c r="Q920" t="s">
        <v>33</v>
      </c>
      <c r="R920" t="str">
        <f>TEXT(SalesData[[#This Row],[Order Date]],"mmm")</f>
        <v>Oct</v>
      </c>
      <c r="S920" s="2" t="str">
        <f>"Q"&amp;ROUNDUP(MONTH(SalesData[[#This Row],[Order Date]])/3,0)</f>
        <v>Q4</v>
      </c>
      <c r="T920">
        <f>YEAR(SalesData[[#This Row],[Order Date]])</f>
        <v>2025</v>
      </c>
      <c r="U920">
        <f>SalesData[[#This Row],[Profit]]/SalesData[[#This Row],[Sales]]</f>
        <v>0.125</v>
      </c>
    </row>
    <row r="921" spans="1:21" x14ac:dyDescent="0.25">
      <c r="A921" t="s">
        <v>1172</v>
      </c>
      <c r="B921" s="1">
        <v>45950</v>
      </c>
      <c r="C921" t="s">
        <v>261</v>
      </c>
      <c r="D921" t="s">
        <v>119</v>
      </c>
      <c r="E921" t="s">
        <v>37</v>
      </c>
      <c r="F921" t="s">
        <v>38</v>
      </c>
      <c r="G921" t="s">
        <v>22</v>
      </c>
      <c r="H921" t="s">
        <v>65</v>
      </c>
      <c r="I921" t="s">
        <v>24</v>
      </c>
      <c r="J921">
        <v>3</v>
      </c>
      <c r="K921">
        <v>55000</v>
      </c>
      <c r="L921">
        <v>5</v>
      </c>
      <c r="M921">
        <v>156750</v>
      </c>
      <c r="N921">
        <v>115500</v>
      </c>
      <c r="O921">
        <v>41250.000000000007</v>
      </c>
      <c r="P921" t="s">
        <v>25</v>
      </c>
      <c r="Q921" t="s">
        <v>26</v>
      </c>
      <c r="R921" t="str">
        <f>TEXT(SalesData[[#This Row],[Order Date]],"mmm")</f>
        <v>Oct</v>
      </c>
      <c r="S921" s="2" t="str">
        <f>"Q"&amp;ROUNDUP(MONTH(SalesData[[#This Row],[Order Date]])/3,0)</f>
        <v>Q4</v>
      </c>
      <c r="T921">
        <f>YEAR(SalesData[[#This Row],[Order Date]])</f>
        <v>2025</v>
      </c>
      <c r="U921">
        <f>SalesData[[#This Row],[Profit]]/SalesData[[#This Row],[Sales]]</f>
        <v>0.26315789473684215</v>
      </c>
    </row>
    <row r="922" spans="1:21" x14ac:dyDescent="0.25">
      <c r="A922" t="s">
        <v>1173</v>
      </c>
      <c r="B922" s="1">
        <v>45757</v>
      </c>
      <c r="C922" t="s">
        <v>159</v>
      </c>
      <c r="D922" t="s">
        <v>230</v>
      </c>
      <c r="E922" t="s">
        <v>37</v>
      </c>
      <c r="F922" t="s">
        <v>38</v>
      </c>
      <c r="G922" t="s">
        <v>22</v>
      </c>
      <c r="H922" t="s">
        <v>32</v>
      </c>
      <c r="I922" t="s">
        <v>53</v>
      </c>
      <c r="J922">
        <v>10</v>
      </c>
      <c r="K922">
        <v>55000</v>
      </c>
      <c r="L922">
        <v>15</v>
      </c>
      <c r="M922">
        <v>467500</v>
      </c>
      <c r="N922">
        <v>385000</v>
      </c>
      <c r="O922">
        <v>82500</v>
      </c>
      <c r="P922" t="s">
        <v>25</v>
      </c>
      <c r="Q922" t="s">
        <v>26</v>
      </c>
      <c r="R922" t="str">
        <f>TEXT(SalesData[[#This Row],[Order Date]],"mmm")</f>
        <v>Apr</v>
      </c>
      <c r="S922" s="2" t="str">
        <f>"Q"&amp;ROUNDUP(MONTH(SalesData[[#This Row],[Order Date]])/3,0)</f>
        <v>Q2</v>
      </c>
      <c r="T922">
        <f>YEAR(SalesData[[#This Row],[Order Date]])</f>
        <v>2025</v>
      </c>
      <c r="U922">
        <f>SalesData[[#This Row],[Profit]]/SalesData[[#This Row],[Sales]]</f>
        <v>0.17647058823529413</v>
      </c>
    </row>
    <row r="923" spans="1:21" x14ac:dyDescent="0.25">
      <c r="A923" t="s">
        <v>1174</v>
      </c>
      <c r="B923" s="1">
        <v>45744</v>
      </c>
      <c r="C923" t="s">
        <v>203</v>
      </c>
      <c r="D923" t="s">
        <v>185</v>
      </c>
      <c r="E923" t="s">
        <v>44</v>
      </c>
      <c r="F923" t="s">
        <v>45</v>
      </c>
      <c r="G923" t="s">
        <v>22</v>
      </c>
      <c r="H923" t="s">
        <v>65</v>
      </c>
      <c r="I923" t="s">
        <v>66</v>
      </c>
      <c r="J923">
        <v>4</v>
      </c>
      <c r="K923">
        <v>9500</v>
      </c>
      <c r="L923">
        <v>5</v>
      </c>
      <c r="M923">
        <v>36100</v>
      </c>
      <c r="N923">
        <v>26600</v>
      </c>
      <c r="O923">
        <v>9500</v>
      </c>
      <c r="P923" t="s">
        <v>25</v>
      </c>
      <c r="Q923" t="s">
        <v>26</v>
      </c>
      <c r="R923" t="str">
        <f>TEXT(SalesData[[#This Row],[Order Date]],"mmm")</f>
        <v>Mar</v>
      </c>
      <c r="S923" s="2" t="str">
        <f>"Q"&amp;ROUNDUP(MONTH(SalesData[[#This Row],[Order Date]])/3,0)</f>
        <v>Q1</v>
      </c>
      <c r="T923">
        <f>YEAR(SalesData[[#This Row],[Order Date]])</f>
        <v>2025</v>
      </c>
      <c r="U923">
        <f>SalesData[[#This Row],[Profit]]/SalesData[[#This Row],[Sales]]</f>
        <v>0.26315789473684209</v>
      </c>
    </row>
    <row r="924" spans="1:21" x14ac:dyDescent="0.25">
      <c r="A924" t="s">
        <v>1175</v>
      </c>
      <c r="B924" s="1">
        <v>45764</v>
      </c>
      <c r="C924" t="s">
        <v>152</v>
      </c>
      <c r="D924" t="s">
        <v>606</v>
      </c>
      <c r="E924" t="s">
        <v>20</v>
      </c>
      <c r="F924" t="s">
        <v>21</v>
      </c>
      <c r="G924" t="s">
        <v>22</v>
      </c>
      <c r="H924" t="s">
        <v>23</v>
      </c>
      <c r="I924" t="s">
        <v>53</v>
      </c>
      <c r="J924">
        <v>4</v>
      </c>
      <c r="K924">
        <v>3500</v>
      </c>
      <c r="L924">
        <v>5</v>
      </c>
      <c r="M924">
        <v>13300</v>
      </c>
      <c r="N924">
        <v>9800</v>
      </c>
      <c r="O924">
        <v>3500</v>
      </c>
      <c r="P924" t="s">
        <v>58</v>
      </c>
      <c r="Q924" t="s">
        <v>26</v>
      </c>
      <c r="R924" t="str">
        <f>TEXT(SalesData[[#This Row],[Order Date]],"mmm")</f>
        <v>Apr</v>
      </c>
      <c r="S924" s="2" t="str">
        <f>"Q"&amp;ROUNDUP(MONTH(SalesData[[#This Row],[Order Date]])/3,0)</f>
        <v>Q2</v>
      </c>
      <c r="T924">
        <f>YEAR(SalesData[[#This Row],[Order Date]])</f>
        <v>2025</v>
      </c>
      <c r="U924">
        <f>SalesData[[#This Row],[Profit]]/SalesData[[#This Row],[Sales]]</f>
        <v>0.26315789473684209</v>
      </c>
    </row>
    <row r="925" spans="1:21" x14ac:dyDescent="0.25">
      <c r="A925" t="s">
        <v>1176</v>
      </c>
      <c r="B925" s="1">
        <v>45875</v>
      </c>
      <c r="C925" t="s">
        <v>676</v>
      </c>
      <c r="D925" t="s">
        <v>606</v>
      </c>
      <c r="E925" t="s">
        <v>30</v>
      </c>
      <c r="F925" t="s">
        <v>31</v>
      </c>
      <c r="G925" t="s">
        <v>22</v>
      </c>
      <c r="H925" t="s">
        <v>65</v>
      </c>
      <c r="I925" t="s">
        <v>53</v>
      </c>
      <c r="J925">
        <v>10</v>
      </c>
      <c r="K925">
        <v>800</v>
      </c>
      <c r="L925">
        <v>5</v>
      </c>
      <c r="M925">
        <v>7600</v>
      </c>
      <c r="N925">
        <v>5600</v>
      </c>
      <c r="O925">
        <v>2000</v>
      </c>
      <c r="P925" t="s">
        <v>40</v>
      </c>
      <c r="Q925" t="s">
        <v>33</v>
      </c>
      <c r="R925" t="str">
        <f>TEXT(SalesData[[#This Row],[Order Date]],"mmm")</f>
        <v>Aug</v>
      </c>
      <c r="S925" s="2" t="str">
        <f>"Q"&amp;ROUNDUP(MONTH(SalesData[[#This Row],[Order Date]])/3,0)</f>
        <v>Q3</v>
      </c>
      <c r="T925">
        <f>YEAR(SalesData[[#This Row],[Order Date]])</f>
        <v>2025</v>
      </c>
      <c r="U925">
        <f>SalesData[[#This Row],[Profit]]/SalesData[[#This Row],[Sales]]</f>
        <v>0.26315789473684209</v>
      </c>
    </row>
    <row r="926" spans="1:21" x14ac:dyDescent="0.25">
      <c r="A926" t="s">
        <v>1177</v>
      </c>
      <c r="B926" s="1">
        <v>45676</v>
      </c>
      <c r="C926" t="s">
        <v>252</v>
      </c>
      <c r="D926" t="s">
        <v>305</v>
      </c>
      <c r="E926" t="s">
        <v>50</v>
      </c>
      <c r="F926" t="s">
        <v>51</v>
      </c>
      <c r="G926" t="s">
        <v>52</v>
      </c>
      <c r="H926" t="s">
        <v>46</v>
      </c>
      <c r="I926" t="s">
        <v>39</v>
      </c>
      <c r="J926">
        <v>5</v>
      </c>
      <c r="K926">
        <v>3200</v>
      </c>
      <c r="L926">
        <v>0</v>
      </c>
      <c r="M926">
        <v>16000</v>
      </c>
      <c r="N926">
        <v>11200</v>
      </c>
      <c r="O926">
        <v>4800</v>
      </c>
      <c r="P926" t="s">
        <v>25</v>
      </c>
      <c r="Q926" t="s">
        <v>33</v>
      </c>
      <c r="R926" t="str">
        <f>TEXT(SalesData[[#This Row],[Order Date]],"mmm")</f>
        <v>Jan</v>
      </c>
      <c r="S926" s="2" t="str">
        <f>"Q"&amp;ROUNDUP(MONTH(SalesData[[#This Row],[Order Date]])/3,0)</f>
        <v>Q1</v>
      </c>
      <c r="T926">
        <f>YEAR(SalesData[[#This Row],[Order Date]])</f>
        <v>2025</v>
      </c>
      <c r="U926">
        <f>SalesData[[#This Row],[Profit]]/SalesData[[#This Row],[Sales]]</f>
        <v>0.3</v>
      </c>
    </row>
    <row r="927" spans="1:21" x14ac:dyDescent="0.25">
      <c r="A927" t="s">
        <v>1178</v>
      </c>
      <c r="B927" s="1">
        <v>45855</v>
      </c>
      <c r="C927" t="s">
        <v>315</v>
      </c>
      <c r="D927" t="s">
        <v>57</v>
      </c>
      <c r="E927" t="s">
        <v>37</v>
      </c>
      <c r="F927" t="s">
        <v>38</v>
      </c>
      <c r="G927" t="s">
        <v>22</v>
      </c>
      <c r="H927" t="s">
        <v>32</v>
      </c>
      <c r="I927" t="s">
        <v>72</v>
      </c>
      <c r="J927">
        <v>9</v>
      </c>
      <c r="K927">
        <v>55000</v>
      </c>
      <c r="L927">
        <v>0</v>
      </c>
      <c r="M927">
        <v>495000</v>
      </c>
      <c r="N927">
        <v>346500</v>
      </c>
      <c r="O927">
        <v>148500</v>
      </c>
      <c r="P927" t="s">
        <v>54</v>
      </c>
      <c r="Q927" t="s">
        <v>26</v>
      </c>
      <c r="R927" t="str">
        <f>TEXT(SalesData[[#This Row],[Order Date]],"mmm")</f>
        <v>Jul</v>
      </c>
      <c r="S927" s="2" t="str">
        <f>"Q"&amp;ROUNDUP(MONTH(SalesData[[#This Row],[Order Date]])/3,0)</f>
        <v>Q3</v>
      </c>
      <c r="T927">
        <f>YEAR(SalesData[[#This Row],[Order Date]])</f>
        <v>2025</v>
      </c>
      <c r="U927">
        <f>SalesData[[#This Row],[Profit]]/SalesData[[#This Row],[Sales]]</f>
        <v>0.3</v>
      </c>
    </row>
    <row r="928" spans="1:21" x14ac:dyDescent="0.25">
      <c r="A928" t="s">
        <v>1179</v>
      </c>
      <c r="B928" s="1">
        <v>45725</v>
      </c>
      <c r="C928" t="s">
        <v>91</v>
      </c>
      <c r="D928" t="s">
        <v>256</v>
      </c>
      <c r="E928" t="s">
        <v>50</v>
      </c>
      <c r="F928" t="s">
        <v>51</v>
      </c>
      <c r="G928" t="s">
        <v>52</v>
      </c>
      <c r="H928" t="s">
        <v>23</v>
      </c>
      <c r="I928" t="s">
        <v>39</v>
      </c>
      <c r="J928">
        <v>3</v>
      </c>
      <c r="K928">
        <v>3200</v>
      </c>
      <c r="L928">
        <v>20</v>
      </c>
      <c r="M928">
        <v>7680</v>
      </c>
      <c r="N928">
        <v>6720</v>
      </c>
      <c r="O928">
        <v>960</v>
      </c>
      <c r="P928" t="s">
        <v>54</v>
      </c>
      <c r="Q928" t="s">
        <v>33</v>
      </c>
      <c r="R928" t="str">
        <f>TEXT(SalesData[[#This Row],[Order Date]],"mmm")</f>
        <v>Mar</v>
      </c>
      <c r="S928" s="2" t="str">
        <f>"Q"&amp;ROUNDUP(MONTH(SalesData[[#This Row],[Order Date]])/3,0)</f>
        <v>Q1</v>
      </c>
      <c r="T928">
        <f>YEAR(SalesData[[#This Row],[Order Date]])</f>
        <v>2025</v>
      </c>
      <c r="U928">
        <f>SalesData[[#This Row],[Profit]]/SalesData[[#This Row],[Sales]]</f>
        <v>0.125</v>
      </c>
    </row>
    <row r="929" spans="1:21" x14ac:dyDescent="0.25">
      <c r="A929" t="s">
        <v>1180</v>
      </c>
      <c r="B929" s="1">
        <v>45700</v>
      </c>
      <c r="C929" t="s">
        <v>96</v>
      </c>
      <c r="D929" t="s">
        <v>142</v>
      </c>
      <c r="E929" t="s">
        <v>37</v>
      </c>
      <c r="F929" t="s">
        <v>38</v>
      </c>
      <c r="G929" t="s">
        <v>22</v>
      </c>
      <c r="H929" t="s">
        <v>23</v>
      </c>
      <c r="I929" t="s">
        <v>72</v>
      </c>
      <c r="J929">
        <v>10</v>
      </c>
      <c r="K929">
        <v>55000</v>
      </c>
      <c r="L929">
        <v>5</v>
      </c>
      <c r="M929">
        <v>522500</v>
      </c>
      <c r="N929">
        <v>385000</v>
      </c>
      <c r="O929">
        <v>137500</v>
      </c>
      <c r="P929" t="s">
        <v>25</v>
      </c>
      <c r="Q929" t="s">
        <v>26</v>
      </c>
      <c r="R929" t="str">
        <f>TEXT(SalesData[[#This Row],[Order Date]],"mmm")</f>
        <v>Feb</v>
      </c>
      <c r="S929" s="2" t="str">
        <f>"Q"&amp;ROUNDUP(MONTH(SalesData[[#This Row],[Order Date]])/3,0)</f>
        <v>Q1</v>
      </c>
      <c r="T929">
        <f>YEAR(SalesData[[#This Row],[Order Date]])</f>
        <v>2025</v>
      </c>
      <c r="U929">
        <f>SalesData[[#This Row],[Profit]]/SalesData[[#This Row],[Sales]]</f>
        <v>0.26315789473684209</v>
      </c>
    </row>
    <row r="930" spans="1:21" x14ac:dyDescent="0.25">
      <c r="A930" t="s">
        <v>1181</v>
      </c>
      <c r="B930" s="1">
        <v>45883</v>
      </c>
      <c r="C930" t="s">
        <v>348</v>
      </c>
      <c r="D930" t="s">
        <v>185</v>
      </c>
      <c r="E930" t="s">
        <v>93</v>
      </c>
      <c r="F930" t="s">
        <v>94</v>
      </c>
      <c r="G930" t="s">
        <v>64</v>
      </c>
      <c r="H930" t="s">
        <v>32</v>
      </c>
      <c r="I930" t="s">
        <v>24</v>
      </c>
      <c r="J930">
        <v>10</v>
      </c>
      <c r="K930">
        <v>4500</v>
      </c>
      <c r="L930">
        <v>10</v>
      </c>
      <c r="M930">
        <v>40500</v>
      </c>
      <c r="N930">
        <v>31500</v>
      </c>
      <c r="O930">
        <v>9000.0000000000036</v>
      </c>
      <c r="P930" t="s">
        <v>25</v>
      </c>
      <c r="Q930" t="s">
        <v>76</v>
      </c>
      <c r="R930" t="str">
        <f>TEXT(SalesData[[#This Row],[Order Date]],"mmm")</f>
        <v>Aug</v>
      </c>
      <c r="S930" s="2" t="str">
        <f>"Q"&amp;ROUNDUP(MONTH(SalesData[[#This Row],[Order Date]])/3,0)</f>
        <v>Q3</v>
      </c>
      <c r="T930">
        <f>YEAR(SalesData[[#This Row],[Order Date]])</f>
        <v>2025</v>
      </c>
      <c r="U930">
        <f>SalesData[[#This Row],[Profit]]/SalesData[[#This Row],[Sales]]</f>
        <v>0.22222222222222232</v>
      </c>
    </row>
    <row r="931" spans="1:21" x14ac:dyDescent="0.25">
      <c r="A931" t="s">
        <v>1182</v>
      </c>
      <c r="B931" s="1">
        <v>45801</v>
      </c>
      <c r="C931" t="s">
        <v>68</v>
      </c>
      <c r="D931" t="s">
        <v>670</v>
      </c>
      <c r="E931" t="s">
        <v>44</v>
      </c>
      <c r="F931" t="s">
        <v>45</v>
      </c>
      <c r="G931" t="s">
        <v>22</v>
      </c>
      <c r="H931" t="s">
        <v>32</v>
      </c>
      <c r="I931" t="s">
        <v>72</v>
      </c>
      <c r="J931">
        <v>8</v>
      </c>
      <c r="K931">
        <v>9500</v>
      </c>
      <c r="L931">
        <v>0</v>
      </c>
      <c r="M931">
        <v>76000</v>
      </c>
      <c r="N931">
        <v>53200</v>
      </c>
      <c r="O931">
        <v>22800</v>
      </c>
      <c r="P931" t="s">
        <v>40</v>
      </c>
      <c r="Q931" t="s">
        <v>26</v>
      </c>
      <c r="R931" t="str">
        <f>TEXT(SalesData[[#This Row],[Order Date]],"mmm")</f>
        <v>May</v>
      </c>
      <c r="S931" s="2" t="str">
        <f>"Q"&amp;ROUNDUP(MONTH(SalesData[[#This Row],[Order Date]])/3,0)</f>
        <v>Q2</v>
      </c>
      <c r="T931">
        <f>YEAR(SalesData[[#This Row],[Order Date]])</f>
        <v>2025</v>
      </c>
      <c r="U931">
        <f>SalesData[[#This Row],[Profit]]/SalesData[[#This Row],[Sales]]</f>
        <v>0.3</v>
      </c>
    </row>
    <row r="932" spans="1:21" x14ac:dyDescent="0.25">
      <c r="A932" t="s">
        <v>1183</v>
      </c>
      <c r="B932" s="1">
        <v>45747</v>
      </c>
      <c r="C932" t="s">
        <v>370</v>
      </c>
      <c r="D932" t="s">
        <v>444</v>
      </c>
      <c r="E932" t="s">
        <v>44</v>
      </c>
      <c r="F932" t="s">
        <v>45</v>
      </c>
      <c r="G932" t="s">
        <v>22</v>
      </c>
      <c r="H932" t="s">
        <v>23</v>
      </c>
      <c r="I932" t="s">
        <v>39</v>
      </c>
      <c r="J932">
        <v>3</v>
      </c>
      <c r="K932">
        <v>9500</v>
      </c>
      <c r="L932">
        <v>10</v>
      </c>
      <c r="M932">
        <v>25650</v>
      </c>
      <c r="N932">
        <v>19950</v>
      </c>
      <c r="O932">
        <v>5700</v>
      </c>
      <c r="P932" t="s">
        <v>25</v>
      </c>
      <c r="Q932" t="s">
        <v>76</v>
      </c>
      <c r="R932" t="str">
        <f>TEXT(SalesData[[#This Row],[Order Date]],"mmm")</f>
        <v>Mar</v>
      </c>
      <c r="S932" s="2" t="str">
        <f>"Q"&amp;ROUNDUP(MONTH(SalesData[[#This Row],[Order Date]])/3,0)</f>
        <v>Q1</v>
      </c>
      <c r="T932">
        <f>YEAR(SalesData[[#This Row],[Order Date]])</f>
        <v>2025</v>
      </c>
      <c r="U932">
        <f>SalesData[[#This Row],[Profit]]/SalesData[[#This Row],[Sales]]</f>
        <v>0.22222222222222221</v>
      </c>
    </row>
    <row r="933" spans="1:21" x14ac:dyDescent="0.25">
      <c r="A933" t="s">
        <v>1184</v>
      </c>
      <c r="B933" s="1">
        <v>45944</v>
      </c>
      <c r="C933" t="s">
        <v>418</v>
      </c>
      <c r="D933" t="s">
        <v>281</v>
      </c>
      <c r="E933" t="s">
        <v>37</v>
      </c>
      <c r="F933" t="s">
        <v>38</v>
      </c>
      <c r="G933" t="s">
        <v>22</v>
      </c>
      <c r="H933" t="s">
        <v>23</v>
      </c>
      <c r="I933" t="s">
        <v>72</v>
      </c>
      <c r="J933">
        <v>2</v>
      </c>
      <c r="K933">
        <v>55000</v>
      </c>
      <c r="L933">
        <v>20</v>
      </c>
      <c r="M933">
        <v>88000</v>
      </c>
      <c r="N933">
        <v>77000</v>
      </c>
      <c r="O933">
        <v>11000</v>
      </c>
      <c r="P933" t="s">
        <v>25</v>
      </c>
      <c r="Q933" t="s">
        <v>76</v>
      </c>
      <c r="R933" t="str">
        <f>TEXT(SalesData[[#This Row],[Order Date]],"mmm")</f>
        <v>Oct</v>
      </c>
      <c r="S933" s="2" t="str">
        <f>"Q"&amp;ROUNDUP(MONTH(SalesData[[#This Row],[Order Date]])/3,0)</f>
        <v>Q4</v>
      </c>
      <c r="T933">
        <f>YEAR(SalesData[[#This Row],[Order Date]])</f>
        <v>2025</v>
      </c>
      <c r="U933">
        <f>SalesData[[#This Row],[Profit]]/SalesData[[#This Row],[Sales]]</f>
        <v>0.125</v>
      </c>
    </row>
    <row r="934" spans="1:21" x14ac:dyDescent="0.25">
      <c r="A934" t="s">
        <v>1185</v>
      </c>
      <c r="B934" s="1">
        <v>45910</v>
      </c>
      <c r="C934" t="s">
        <v>85</v>
      </c>
      <c r="D934" t="s">
        <v>352</v>
      </c>
      <c r="E934" t="s">
        <v>30</v>
      </c>
      <c r="F934" t="s">
        <v>31</v>
      </c>
      <c r="G934" t="s">
        <v>22</v>
      </c>
      <c r="H934" t="s">
        <v>32</v>
      </c>
      <c r="I934" t="s">
        <v>53</v>
      </c>
      <c r="J934">
        <v>6</v>
      </c>
      <c r="K934">
        <v>800</v>
      </c>
      <c r="L934">
        <v>10</v>
      </c>
      <c r="M934">
        <v>4320</v>
      </c>
      <c r="N934">
        <v>3360</v>
      </c>
      <c r="O934">
        <v>960</v>
      </c>
      <c r="P934" t="s">
        <v>40</v>
      </c>
      <c r="Q934" t="s">
        <v>33</v>
      </c>
      <c r="R934" t="str">
        <f>TEXT(SalesData[[#This Row],[Order Date]],"mmm")</f>
        <v>Sep</v>
      </c>
      <c r="S934" s="2" t="str">
        <f>"Q"&amp;ROUNDUP(MONTH(SalesData[[#This Row],[Order Date]])/3,0)</f>
        <v>Q3</v>
      </c>
      <c r="T934">
        <f>YEAR(SalesData[[#This Row],[Order Date]])</f>
        <v>2025</v>
      </c>
      <c r="U934">
        <f>SalesData[[#This Row],[Profit]]/SalesData[[#This Row],[Sales]]</f>
        <v>0.22222222222222221</v>
      </c>
    </row>
    <row r="935" spans="1:21" x14ac:dyDescent="0.25">
      <c r="A935" t="s">
        <v>1186</v>
      </c>
      <c r="B935" s="1">
        <v>45733</v>
      </c>
      <c r="C935" t="s">
        <v>123</v>
      </c>
      <c r="D935" t="s">
        <v>103</v>
      </c>
      <c r="E935" t="s">
        <v>20</v>
      </c>
      <c r="F935" t="s">
        <v>21</v>
      </c>
      <c r="G935" t="s">
        <v>22</v>
      </c>
      <c r="H935" t="s">
        <v>65</v>
      </c>
      <c r="I935" t="s">
        <v>39</v>
      </c>
      <c r="J935">
        <v>2</v>
      </c>
      <c r="K935">
        <v>3500</v>
      </c>
      <c r="L935">
        <v>15</v>
      </c>
      <c r="M935">
        <v>5950</v>
      </c>
      <c r="N935">
        <v>4900</v>
      </c>
      <c r="O935">
        <v>1050</v>
      </c>
      <c r="P935" t="s">
        <v>25</v>
      </c>
      <c r="Q935" t="s">
        <v>26</v>
      </c>
      <c r="R935" t="str">
        <f>TEXT(SalesData[[#This Row],[Order Date]],"mmm")</f>
        <v>Mar</v>
      </c>
      <c r="S935" s="2" t="str">
        <f>"Q"&amp;ROUNDUP(MONTH(SalesData[[#This Row],[Order Date]])/3,0)</f>
        <v>Q1</v>
      </c>
      <c r="T935">
        <f>YEAR(SalesData[[#This Row],[Order Date]])</f>
        <v>2025</v>
      </c>
      <c r="U935">
        <f>SalesData[[#This Row],[Profit]]/SalesData[[#This Row],[Sales]]</f>
        <v>0.17647058823529413</v>
      </c>
    </row>
    <row r="936" spans="1:21" x14ac:dyDescent="0.25">
      <c r="A936" t="s">
        <v>1187</v>
      </c>
      <c r="B936" s="1">
        <v>45951</v>
      </c>
      <c r="C936" t="s">
        <v>68</v>
      </c>
      <c r="D936" t="s">
        <v>422</v>
      </c>
      <c r="E936" t="s">
        <v>44</v>
      </c>
      <c r="F936" t="s">
        <v>45</v>
      </c>
      <c r="G936" t="s">
        <v>22</v>
      </c>
      <c r="H936" t="s">
        <v>32</v>
      </c>
      <c r="I936" t="s">
        <v>80</v>
      </c>
      <c r="J936">
        <v>6</v>
      </c>
      <c r="K936">
        <v>9500</v>
      </c>
      <c r="L936">
        <v>20</v>
      </c>
      <c r="M936">
        <v>45600</v>
      </c>
      <c r="N936">
        <v>39900</v>
      </c>
      <c r="O936">
        <v>5700</v>
      </c>
      <c r="P936" t="s">
        <v>58</v>
      </c>
      <c r="Q936" t="s">
        <v>33</v>
      </c>
      <c r="R936" t="str">
        <f>TEXT(SalesData[[#This Row],[Order Date]],"mmm")</f>
        <v>Oct</v>
      </c>
      <c r="S936" s="2" t="str">
        <f>"Q"&amp;ROUNDUP(MONTH(SalesData[[#This Row],[Order Date]])/3,0)</f>
        <v>Q4</v>
      </c>
      <c r="T936">
        <f>YEAR(SalesData[[#This Row],[Order Date]])</f>
        <v>2025</v>
      </c>
      <c r="U936">
        <f>SalesData[[#This Row],[Profit]]/SalesData[[#This Row],[Sales]]</f>
        <v>0.125</v>
      </c>
    </row>
    <row r="937" spans="1:21" x14ac:dyDescent="0.25">
      <c r="A937" t="s">
        <v>1188</v>
      </c>
      <c r="B937" s="1">
        <v>45672</v>
      </c>
      <c r="C937" t="s">
        <v>501</v>
      </c>
      <c r="D937" t="s">
        <v>142</v>
      </c>
      <c r="E937" t="s">
        <v>44</v>
      </c>
      <c r="F937" t="s">
        <v>45</v>
      </c>
      <c r="G937" t="s">
        <v>22</v>
      </c>
      <c r="H937" t="s">
        <v>65</v>
      </c>
      <c r="I937" t="s">
        <v>39</v>
      </c>
      <c r="J937">
        <v>9</v>
      </c>
      <c r="K937">
        <v>9500</v>
      </c>
      <c r="L937">
        <v>20</v>
      </c>
      <c r="M937">
        <v>68400</v>
      </c>
      <c r="N937">
        <v>59849.999999999993</v>
      </c>
      <c r="O937">
        <v>8550.0000000000073</v>
      </c>
      <c r="P937" t="s">
        <v>54</v>
      </c>
      <c r="Q937" t="s">
        <v>26</v>
      </c>
      <c r="R937" t="str">
        <f>TEXT(SalesData[[#This Row],[Order Date]],"mmm")</f>
        <v>Jan</v>
      </c>
      <c r="S937" s="2" t="str">
        <f>"Q"&amp;ROUNDUP(MONTH(SalesData[[#This Row],[Order Date]])/3,0)</f>
        <v>Q1</v>
      </c>
      <c r="T937">
        <f>YEAR(SalesData[[#This Row],[Order Date]])</f>
        <v>2025</v>
      </c>
      <c r="U937">
        <f>SalesData[[#This Row],[Profit]]/SalesData[[#This Row],[Sales]]</f>
        <v>0.12500000000000011</v>
      </c>
    </row>
    <row r="938" spans="1:21" x14ac:dyDescent="0.25">
      <c r="A938" t="s">
        <v>1189</v>
      </c>
      <c r="B938" s="1">
        <v>45728</v>
      </c>
      <c r="C938" t="s">
        <v>265</v>
      </c>
      <c r="D938" t="s">
        <v>145</v>
      </c>
      <c r="E938" t="s">
        <v>62</v>
      </c>
      <c r="F938" t="s">
        <v>63</v>
      </c>
      <c r="G938" t="s">
        <v>64</v>
      </c>
      <c r="H938" t="s">
        <v>32</v>
      </c>
      <c r="I938" t="s">
        <v>72</v>
      </c>
      <c r="J938">
        <v>5</v>
      </c>
      <c r="K938">
        <v>8500</v>
      </c>
      <c r="L938">
        <v>10</v>
      </c>
      <c r="M938">
        <v>38250</v>
      </c>
      <c r="N938">
        <v>29750</v>
      </c>
      <c r="O938">
        <v>8500.0000000000036</v>
      </c>
      <c r="P938" t="s">
        <v>40</v>
      </c>
      <c r="Q938" t="s">
        <v>33</v>
      </c>
      <c r="R938" t="str">
        <f>TEXT(SalesData[[#This Row],[Order Date]],"mmm")</f>
        <v>Mar</v>
      </c>
      <c r="S938" s="2" t="str">
        <f>"Q"&amp;ROUNDUP(MONTH(SalesData[[#This Row],[Order Date]])/3,0)</f>
        <v>Q1</v>
      </c>
      <c r="T938">
        <f>YEAR(SalesData[[#This Row],[Order Date]])</f>
        <v>2025</v>
      </c>
      <c r="U938">
        <f>SalesData[[#This Row],[Profit]]/SalesData[[#This Row],[Sales]]</f>
        <v>0.22222222222222232</v>
      </c>
    </row>
    <row r="939" spans="1:21" x14ac:dyDescent="0.25">
      <c r="A939" t="s">
        <v>1190</v>
      </c>
      <c r="B939" s="1">
        <v>45886</v>
      </c>
      <c r="C939" t="s">
        <v>56</v>
      </c>
      <c r="D939" t="s">
        <v>161</v>
      </c>
      <c r="E939" t="s">
        <v>50</v>
      </c>
      <c r="F939" t="s">
        <v>51</v>
      </c>
      <c r="G939" t="s">
        <v>52</v>
      </c>
      <c r="H939" t="s">
        <v>65</v>
      </c>
      <c r="I939" t="s">
        <v>39</v>
      </c>
      <c r="J939">
        <v>2</v>
      </c>
      <c r="K939">
        <v>3200</v>
      </c>
      <c r="L939">
        <v>20</v>
      </c>
      <c r="M939">
        <v>5120</v>
      </c>
      <c r="N939">
        <v>4480</v>
      </c>
      <c r="O939">
        <v>640</v>
      </c>
      <c r="P939" t="s">
        <v>58</v>
      </c>
      <c r="Q939" t="s">
        <v>26</v>
      </c>
      <c r="R939" t="str">
        <f>TEXT(SalesData[[#This Row],[Order Date]],"mmm")</f>
        <v>Aug</v>
      </c>
      <c r="S939" s="2" t="str">
        <f>"Q"&amp;ROUNDUP(MONTH(SalesData[[#This Row],[Order Date]])/3,0)</f>
        <v>Q3</v>
      </c>
      <c r="T939">
        <f>YEAR(SalesData[[#This Row],[Order Date]])</f>
        <v>2025</v>
      </c>
      <c r="U939">
        <f>SalesData[[#This Row],[Profit]]/SalesData[[#This Row],[Sales]]</f>
        <v>0.125</v>
      </c>
    </row>
    <row r="940" spans="1:21" x14ac:dyDescent="0.25">
      <c r="A940" t="s">
        <v>1191</v>
      </c>
      <c r="B940" s="1">
        <v>45722</v>
      </c>
      <c r="C940" t="s">
        <v>91</v>
      </c>
      <c r="D940" t="s">
        <v>97</v>
      </c>
      <c r="E940" t="s">
        <v>50</v>
      </c>
      <c r="F940" t="s">
        <v>51</v>
      </c>
      <c r="G940" t="s">
        <v>52</v>
      </c>
      <c r="H940" t="s">
        <v>65</v>
      </c>
      <c r="I940" t="s">
        <v>24</v>
      </c>
      <c r="J940">
        <v>9</v>
      </c>
      <c r="K940">
        <v>3200</v>
      </c>
      <c r="L940">
        <v>10</v>
      </c>
      <c r="M940">
        <v>25920</v>
      </c>
      <c r="N940">
        <v>20160</v>
      </c>
      <c r="O940">
        <v>5760</v>
      </c>
      <c r="P940" t="s">
        <v>58</v>
      </c>
      <c r="Q940" t="s">
        <v>26</v>
      </c>
      <c r="R940" t="str">
        <f>TEXT(SalesData[[#This Row],[Order Date]],"mmm")</f>
        <v>Mar</v>
      </c>
      <c r="S940" s="2" t="str">
        <f>"Q"&amp;ROUNDUP(MONTH(SalesData[[#This Row],[Order Date]])/3,0)</f>
        <v>Q1</v>
      </c>
      <c r="T940">
        <f>YEAR(SalesData[[#This Row],[Order Date]])</f>
        <v>2025</v>
      </c>
      <c r="U940">
        <f>SalesData[[#This Row],[Profit]]/SalesData[[#This Row],[Sales]]</f>
        <v>0.22222222222222221</v>
      </c>
    </row>
    <row r="941" spans="1:21" x14ac:dyDescent="0.25">
      <c r="A941" t="s">
        <v>1192</v>
      </c>
      <c r="B941" s="1">
        <v>45834</v>
      </c>
      <c r="C941" t="s">
        <v>367</v>
      </c>
      <c r="D941" t="s">
        <v>317</v>
      </c>
      <c r="E941" t="s">
        <v>37</v>
      </c>
      <c r="F941" t="s">
        <v>38</v>
      </c>
      <c r="G941" t="s">
        <v>22</v>
      </c>
      <c r="H941" t="s">
        <v>32</v>
      </c>
      <c r="I941" t="s">
        <v>72</v>
      </c>
      <c r="J941">
        <v>3</v>
      </c>
      <c r="K941">
        <v>55000</v>
      </c>
      <c r="L941">
        <v>10</v>
      </c>
      <c r="M941">
        <v>148500</v>
      </c>
      <c r="N941">
        <v>115500</v>
      </c>
      <c r="O941">
        <v>33000.000000000007</v>
      </c>
      <c r="P941" t="s">
        <v>40</v>
      </c>
      <c r="Q941" t="s">
        <v>76</v>
      </c>
      <c r="R941" t="str">
        <f>TEXT(SalesData[[#This Row],[Order Date]],"mmm")</f>
        <v>Jun</v>
      </c>
      <c r="S941" s="2" t="str">
        <f>"Q"&amp;ROUNDUP(MONTH(SalesData[[#This Row],[Order Date]])/3,0)</f>
        <v>Q2</v>
      </c>
      <c r="T941">
        <f>YEAR(SalesData[[#This Row],[Order Date]])</f>
        <v>2025</v>
      </c>
      <c r="U941">
        <f>SalesData[[#This Row],[Profit]]/SalesData[[#This Row],[Sales]]</f>
        <v>0.22222222222222227</v>
      </c>
    </row>
    <row r="942" spans="1:21" x14ac:dyDescent="0.25">
      <c r="A942" t="s">
        <v>1193</v>
      </c>
      <c r="B942" s="1">
        <v>45729</v>
      </c>
      <c r="C942" t="s">
        <v>105</v>
      </c>
      <c r="D942" t="s">
        <v>377</v>
      </c>
      <c r="E942" t="s">
        <v>30</v>
      </c>
      <c r="F942" t="s">
        <v>31</v>
      </c>
      <c r="G942" t="s">
        <v>22</v>
      </c>
      <c r="H942" t="s">
        <v>32</v>
      </c>
      <c r="I942" t="s">
        <v>53</v>
      </c>
      <c r="J942">
        <v>10</v>
      </c>
      <c r="K942">
        <v>800</v>
      </c>
      <c r="L942">
        <v>15</v>
      </c>
      <c r="M942">
        <v>6800</v>
      </c>
      <c r="N942">
        <v>5600</v>
      </c>
      <c r="O942">
        <v>1200</v>
      </c>
      <c r="P942" t="s">
        <v>40</v>
      </c>
      <c r="Q942" t="s">
        <v>26</v>
      </c>
      <c r="R942" t="str">
        <f>TEXT(SalesData[[#This Row],[Order Date]],"mmm")</f>
        <v>Mar</v>
      </c>
      <c r="S942" s="2" t="str">
        <f>"Q"&amp;ROUNDUP(MONTH(SalesData[[#This Row],[Order Date]])/3,0)</f>
        <v>Q1</v>
      </c>
      <c r="T942">
        <f>YEAR(SalesData[[#This Row],[Order Date]])</f>
        <v>2025</v>
      </c>
      <c r="U942">
        <f>SalesData[[#This Row],[Profit]]/SalesData[[#This Row],[Sales]]</f>
        <v>0.17647058823529413</v>
      </c>
    </row>
    <row r="943" spans="1:21" x14ac:dyDescent="0.25">
      <c r="A943" t="s">
        <v>1194</v>
      </c>
      <c r="B943" s="1">
        <v>45989</v>
      </c>
      <c r="C943" t="s">
        <v>252</v>
      </c>
      <c r="D943" t="s">
        <v>352</v>
      </c>
      <c r="E943" t="s">
        <v>30</v>
      </c>
      <c r="F943" t="s">
        <v>31</v>
      </c>
      <c r="G943" t="s">
        <v>22</v>
      </c>
      <c r="H943" t="s">
        <v>65</v>
      </c>
      <c r="I943" t="s">
        <v>39</v>
      </c>
      <c r="J943">
        <v>3</v>
      </c>
      <c r="K943">
        <v>800</v>
      </c>
      <c r="L943">
        <v>20</v>
      </c>
      <c r="M943">
        <v>1920</v>
      </c>
      <c r="N943">
        <v>1680</v>
      </c>
      <c r="O943">
        <v>240</v>
      </c>
      <c r="P943" t="s">
        <v>54</v>
      </c>
      <c r="Q943" t="s">
        <v>76</v>
      </c>
      <c r="R943" t="str">
        <f>TEXT(SalesData[[#This Row],[Order Date]],"mmm")</f>
        <v>Nov</v>
      </c>
      <c r="S943" s="2" t="str">
        <f>"Q"&amp;ROUNDUP(MONTH(SalesData[[#This Row],[Order Date]])/3,0)</f>
        <v>Q4</v>
      </c>
      <c r="T943">
        <f>YEAR(SalesData[[#This Row],[Order Date]])</f>
        <v>2025</v>
      </c>
      <c r="U943">
        <f>SalesData[[#This Row],[Profit]]/SalesData[[#This Row],[Sales]]</f>
        <v>0.125</v>
      </c>
    </row>
    <row r="944" spans="1:21" x14ac:dyDescent="0.25">
      <c r="A944" t="s">
        <v>1195</v>
      </c>
      <c r="B944" s="1">
        <v>45698</v>
      </c>
      <c r="C944" t="s">
        <v>242</v>
      </c>
      <c r="D944" t="s">
        <v>281</v>
      </c>
      <c r="E944" t="s">
        <v>70</v>
      </c>
      <c r="F944" t="s">
        <v>71</v>
      </c>
      <c r="G944" t="s">
        <v>22</v>
      </c>
      <c r="H944" t="s">
        <v>46</v>
      </c>
      <c r="I944" t="s">
        <v>66</v>
      </c>
      <c r="J944">
        <v>3</v>
      </c>
      <c r="K944">
        <v>1500</v>
      </c>
      <c r="L944">
        <v>10</v>
      </c>
      <c r="M944">
        <v>4050</v>
      </c>
      <c r="N944">
        <v>3150</v>
      </c>
      <c r="O944">
        <v>900</v>
      </c>
      <c r="P944" t="s">
        <v>54</v>
      </c>
      <c r="Q944" t="s">
        <v>26</v>
      </c>
      <c r="R944" t="str">
        <f>TEXT(SalesData[[#This Row],[Order Date]],"mmm")</f>
        <v>Feb</v>
      </c>
      <c r="S944" s="2" t="str">
        <f>"Q"&amp;ROUNDUP(MONTH(SalesData[[#This Row],[Order Date]])/3,0)</f>
        <v>Q1</v>
      </c>
      <c r="T944">
        <f>YEAR(SalesData[[#This Row],[Order Date]])</f>
        <v>2025</v>
      </c>
      <c r="U944">
        <f>SalesData[[#This Row],[Profit]]/SalesData[[#This Row],[Sales]]</f>
        <v>0.22222222222222221</v>
      </c>
    </row>
    <row r="945" spans="1:21" x14ac:dyDescent="0.25">
      <c r="A945" t="s">
        <v>1196</v>
      </c>
      <c r="B945" s="1">
        <v>45764</v>
      </c>
      <c r="C945" t="s">
        <v>163</v>
      </c>
      <c r="D945" t="s">
        <v>133</v>
      </c>
      <c r="E945" t="s">
        <v>37</v>
      </c>
      <c r="F945" t="s">
        <v>38</v>
      </c>
      <c r="G945" t="s">
        <v>22</v>
      </c>
      <c r="H945" t="s">
        <v>65</v>
      </c>
      <c r="I945" t="s">
        <v>53</v>
      </c>
      <c r="J945">
        <v>1</v>
      </c>
      <c r="K945">
        <v>55000</v>
      </c>
      <c r="L945">
        <v>5</v>
      </c>
      <c r="M945">
        <v>52250</v>
      </c>
      <c r="N945">
        <v>38500</v>
      </c>
      <c r="O945">
        <v>13750</v>
      </c>
      <c r="P945" t="s">
        <v>25</v>
      </c>
      <c r="Q945" t="s">
        <v>33</v>
      </c>
      <c r="R945" t="str">
        <f>TEXT(SalesData[[#This Row],[Order Date]],"mmm")</f>
        <v>Apr</v>
      </c>
      <c r="S945" s="2" t="str">
        <f>"Q"&amp;ROUNDUP(MONTH(SalesData[[#This Row],[Order Date]])/3,0)</f>
        <v>Q2</v>
      </c>
      <c r="T945">
        <f>YEAR(SalesData[[#This Row],[Order Date]])</f>
        <v>2025</v>
      </c>
      <c r="U945">
        <f>SalesData[[#This Row],[Profit]]/SalesData[[#This Row],[Sales]]</f>
        <v>0.26315789473684209</v>
      </c>
    </row>
    <row r="946" spans="1:21" x14ac:dyDescent="0.25">
      <c r="A946" t="s">
        <v>1197</v>
      </c>
      <c r="B946" s="1">
        <v>45891</v>
      </c>
      <c r="C946" t="s">
        <v>539</v>
      </c>
      <c r="D946" t="s">
        <v>196</v>
      </c>
      <c r="E946" t="s">
        <v>44</v>
      </c>
      <c r="F946" t="s">
        <v>45</v>
      </c>
      <c r="G946" t="s">
        <v>22</v>
      </c>
      <c r="H946" t="s">
        <v>23</v>
      </c>
      <c r="I946" t="s">
        <v>66</v>
      </c>
      <c r="J946">
        <v>9</v>
      </c>
      <c r="K946">
        <v>9500</v>
      </c>
      <c r="L946">
        <v>0</v>
      </c>
      <c r="M946">
        <v>85500</v>
      </c>
      <c r="N946">
        <v>59849.999999999993</v>
      </c>
      <c r="O946">
        <v>25650.000000000011</v>
      </c>
      <c r="P946" t="s">
        <v>40</v>
      </c>
      <c r="Q946" t="s">
        <v>33</v>
      </c>
      <c r="R946" t="str">
        <f>TEXT(SalesData[[#This Row],[Order Date]],"mmm")</f>
        <v>Aug</v>
      </c>
      <c r="S946" s="2" t="str">
        <f>"Q"&amp;ROUNDUP(MONTH(SalesData[[#This Row],[Order Date]])/3,0)</f>
        <v>Q3</v>
      </c>
      <c r="T946">
        <f>YEAR(SalesData[[#This Row],[Order Date]])</f>
        <v>2025</v>
      </c>
      <c r="U946">
        <f>SalesData[[#This Row],[Profit]]/SalesData[[#This Row],[Sales]]</f>
        <v>0.3000000000000001</v>
      </c>
    </row>
    <row r="947" spans="1:21" x14ac:dyDescent="0.25">
      <c r="A947" t="s">
        <v>1198</v>
      </c>
      <c r="B947" s="1">
        <v>45721</v>
      </c>
      <c r="C947" t="s">
        <v>28</v>
      </c>
      <c r="D947" t="s">
        <v>340</v>
      </c>
      <c r="E947" t="s">
        <v>30</v>
      </c>
      <c r="F947" t="s">
        <v>31</v>
      </c>
      <c r="G947" t="s">
        <v>22</v>
      </c>
      <c r="H947" t="s">
        <v>23</v>
      </c>
      <c r="I947" t="s">
        <v>53</v>
      </c>
      <c r="J947">
        <v>9</v>
      </c>
      <c r="K947">
        <v>800</v>
      </c>
      <c r="L947">
        <v>15</v>
      </c>
      <c r="M947">
        <v>6120</v>
      </c>
      <c r="N947">
        <v>5040</v>
      </c>
      <c r="O947">
        <v>1080</v>
      </c>
      <c r="P947" t="s">
        <v>40</v>
      </c>
      <c r="Q947" t="s">
        <v>33</v>
      </c>
      <c r="R947" t="str">
        <f>TEXT(SalesData[[#This Row],[Order Date]],"mmm")</f>
        <v>Mar</v>
      </c>
      <c r="S947" s="2" t="str">
        <f>"Q"&amp;ROUNDUP(MONTH(SalesData[[#This Row],[Order Date]])/3,0)</f>
        <v>Q1</v>
      </c>
      <c r="T947">
        <f>YEAR(SalesData[[#This Row],[Order Date]])</f>
        <v>2025</v>
      </c>
      <c r="U947">
        <f>SalesData[[#This Row],[Profit]]/SalesData[[#This Row],[Sales]]</f>
        <v>0.17647058823529413</v>
      </c>
    </row>
    <row r="948" spans="1:21" x14ac:dyDescent="0.25">
      <c r="A948" t="s">
        <v>1199</v>
      </c>
      <c r="B948" s="1">
        <v>45993</v>
      </c>
      <c r="C948" t="s">
        <v>360</v>
      </c>
      <c r="D948" t="s">
        <v>79</v>
      </c>
      <c r="E948" t="s">
        <v>44</v>
      </c>
      <c r="F948" t="s">
        <v>45</v>
      </c>
      <c r="G948" t="s">
        <v>22</v>
      </c>
      <c r="H948" t="s">
        <v>23</v>
      </c>
      <c r="I948" t="s">
        <v>66</v>
      </c>
      <c r="J948">
        <v>3</v>
      </c>
      <c r="K948">
        <v>9500</v>
      </c>
      <c r="L948">
        <v>20</v>
      </c>
      <c r="M948">
        <v>22800</v>
      </c>
      <c r="N948">
        <v>19950</v>
      </c>
      <c r="O948">
        <v>2850</v>
      </c>
      <c r="P948" t="s">
        <v>54</v>
      </c>
      <c r="Q948" t="s">
        <v>76</v>
      </c>
      <c r="R948" t="str">
        <f>TEXT(SalesData[[#This Row],[Order Date]],"mmm")</f>
        <v>Dec</v>
      </c>
      <c r="S948" s="2" t="str">
        <f>"Q"&amp;ROUNDUP(MONTH(SalesData[[#This Row],[Order Date]])/3,0)</f>
        <v>Q4</v>
      </c>
      <c r="T948">
        <f>YEAR(SalesData[[#This Row],[Order Date]])</f>
        <v>2025</v>
      </c>
      <c r="U948">
        <f>SalesData[[#This Row],[Profit]]/SalesData[[#This Row],[Sales]]</f>
        <v>0.125</v>
      </c>
    </row>
    <row r="949" spans="1:21" x14ac:dyDescent="0.25">
      <c r="A949" t="s">
        <v>1200</v>
      </c>
      <c r="B949" s="1">
        <v>45933</v>
      </c>
      <c r="C949" t="s">
        <v>118</v>
      </c>
      <c r="D949" t="s">
        <v>285</v>
      </c>
      <c r="E949" t="s">
        <v>37</v>
      </c>
      <c r="F949" t="s">
        <v>38</v>
      </c>
      <c r="G949" t="s">
        <v>22</v>
      </c>
      <c r="H949" t="s">
        <v>32</v>
      </c>
      <c r="I949" t="s">
        <v>66</v>
      </c>
      <c r="J949">
        <v>5</v>
      </c>
      <c r="K949">
        <v>55000</v>
      </c>
      <c r="L949">
        <v>20</v>
      </c>
      <c r="M949">
        <v>220000</v>
      </c>
      <c r="N949">
        <v>192500</v>
      </c>
      <c r="O949">
        <v>27500</v>
      </c>
      <c r="P949" t="s">
        <v>40</v>
      </c>
      <c r="Q949" t="s">
        <v>26</v>
      </c>
      <c r="R949" t="str">
        <f>TEXT(SalesData[[#This Row],[Order Date]],"mmm")</f>
        <v>Oct</v>
      </c>
      <c r="S949" s="2" t="str">
        <f>"Q"&amp;ROUNDUP(MONTH(SalesData[[#This Row],[Order Date]])/3,0)</f>
        <v>Q4</v>
      </c>
      <c r="T949">
        <f>YEAR(SalesData[[#This Row],[Order Date]])</f>
        <v>2025</v>
      </c>
      <c r="U949">
        <f>SalesData[[#This Row],[Profit]]/SalesData[[#This Row],[Sales]]</f>
        <v>0.125</v>
      </c>
    </row>
    <row r="950" spans="1:21" x14ac:dyDescent="0.25">
      <c r="A950" t="s">
        <v>1201</v>
      </c>
      <c r="B950" s="1">
        <v>45687</v>
      </c>
      <c r="C950" t="s">
        <v>234</v>
      </c>
      <c r="D950" t="s">
        <v>262</v>
      </c>
      <c r="E950" t="s">
        <v>93</v>
      </c>
      <c r="F950" t="s">
        <v>94</v>
      </c>
      <c r="G950" t="s">
        <v>64</v>
      </c>
      <c r="H950" t="s">
        <v>46</v>
      </c>
      <c r="I950" t="s">
        <v>53</v>
      </c>
      <c r="J950">
        <v>5</v>
      </c>
      <c r="K950">
        <v>4500</v>
      </c>
      <c r="L950">
        <v>0</v>
      </c>
      <c r="M950">
        <v>22500</v>
      </c>
      <c r="N950">
        <v>15750</v>
      </c>
      <c r="O950">
        <v>6750.0000000000018</v>
      </c>
      <c r="P950" t="s">
        <v>54</v>
      </c>
      <c r="Q950" t="s">
        <v>26</v>
      </c>
      <c r="R950" t="str">
        <f>TEXT(SalesData[[#This Row],[Order Date]],"mmm")</f>
        <v>Jan</v>
      </c>
      <c r="S950" s="2" t="str">
        <f>"Q"&amp;ROUNDUP(MONTH(SalesData[[#This Row],[Order Date]])/3,0)</f>
        <v>Q1</v>
      </c>
      <c r="T950">
        <f>YEAR(SalesData[[#This Row],[Order Date]])</f>
        <v>2025</v>
      </c>
      <c r="U950">
        <f>SalesData[[#This Row],[Profit]]/SalesData[[#This Row],[Sales]]</f>
        <v>0.3000000000000001</v>
      </c>
    </row>
    <row r="951" spans="1:21" x14ac:dyDescent="0.25">
      <c r="A951" t="s">
        <v>1202</v>
      </c>
      <c r="B951" s="1">
        <v>45886</v>
      </c>
      <c r="C951" t="s">
        <v>168</v>
      </c>
      <c r="D951" t="s">
        <v>191</v>
      </c>
      <c r="E951" t="s">
        <v>44</v>
      </c>
      <c r="F951" t="s">
        <v>45</v>
      </c>
      <c r="G951" t="s">
        <v>22</v>
      </c>
      <c r="H951" t="s">
        <v>23</v>
      </c>
      <c r="I951" t="s">
        <v>72</v>
      </c>
      <c r="J951">
        <v>6</v>
      </c>
      <c r="K951">
        <v>9500</v>
      </c>
      <c r="L951">
        <v>20</v>
      </c>
      <c r="M951">
        <v>45600</v>
      </c>
      <c r="N951">
        <v>39900</v>
      </c>
      <c r="O951">
        <v>5700</v>
      </c>
      <c r="P951" t="s">
        <v>58</v>
      </c>
      <c r="Q951" t="s">
        <v>76</v>
      </c>
      <c r="R951" t="str">
        <f>TEXT(SalesData[[#This Row],[Order Date]],"mmm")</f>
        <v>Aug</v>
      </c>
      <c r="S951" s="2" t="str">
        <f>"Q"&amp;ROUNDUP(MONTH(SalesData[[#This Row],[Order Date]])/3,0)</f>
        <v>Q3</v>
      </c>
      <c r="T951">
        <f>YEAR(SalesData[[#This Row],[Order Date]])</f>
        <v>2025</v>
      </c>
      <c r="U951">
        <f>SalesData[[#This Row],[Profit]]/SalesData[[#This Row],[Sales]]</f>
        <v>0.125</v>
      </c>
    </row>
    <row r="952" spans="1:21" x14ac:dyDescent="0.25">
      <c r="A952" t="s">
        <v>1203</v>
      </c>
      <c r="B952" s="1">
        <v>45896</v>
      </c>
      <c r="C952" t="s">
        <v>198</v>
      </c>
      <c r="D952" t="s">
        <v>336</v>
      </c>
      <c r="E952" t="s">
        <v>44</v>
      </c>
      <c r="F952" t="s">
        <v>45</v>
      </c>
      <c r="G952" t="s">
        <v>22</v>
      </c>
      <c r="H952" t="s">
        <v>65</v>
      </c>
      <c r="I952" t="s">
        <v>80</v>
      </c>
      <c r="J952">
        <v>9</v>
      </c>
      <c r="K952">
        <v>9500</v>
      </c>
      <c r="L952">
        <v>20</v>
      </c>
      <c r="M952">
        <v>68400</v>
      </c>
      <c r="N952">
        <v>59849.999999999993</v>
      </c>
      <c r="O952">
        <v>8550.0000000000073</v>
      </c>
      <c r="P952" t="s">
        <v>54</v>
      </c>
      <c r="Q952" t="s">
        <v>33</v>
      </c>
      <c r="R952" t="str">
        <f>TEXT(SalesData[[#This Row],[Order Date]],"mmm")</f>
        <v>Aug</v>
      </c>
      <c r="S952" s="2" t="str">
        <f>"Q"&amp;ROUNDUP(MONTH(SalesData[[#This Row],[Order Date]])/3,0)</f>
        <v>Q3</v>
      </c>
      <c r="T952">
        <f>YEAR(SalesData[[#This Row],[Order Date]])</f>
        <v>2025</v>
      </c>
      <c r="U952">
        <f>SalesData[[#This Row],[Profit]]/SalesData[[#This Row],[Sales]]</f>
        <v>0.12500000000000011</v>
      </c>
    </row>
    <row r="953" spans="1:21" x14ac:dyDescent="0.25">
      <c r="A953" t="s">
        <v>1204</v>
      </c>
      <c r="B953" s="1">
        <v>45881</v>
      </c>
      <c r="C953" t="s">
        <v>376</v>
      </c>
      <c r="D953" t="s">
        <v>110</v>
      </c>
      <c r="E953" t="s">
        <v>20</v>
      </c>
      <c r="F953" t="s">
        <v>21</v>
      </c>
      <c r="G953" t="s">
        <v>22</v>
      </c>
      <c r="H953" t="s">
        <v>23</v>
      </c>
      <c r="I953" t="s">
        <v>66</v>
      </c>
      <c r="J953">
        <v>1</v>
      </c>
      <c r="K953">
        <v>3500</v>
      </c>
      <c r="L953">
        <v>5</v>
      </c>
      <c r="M953">
        <v>3325</v>
      </c>
      <c r="N953">
        <v>2450</v>
      </c>
      <c r="O953">
        <v>875</v>
      </c>
      <c r="P953" t="s">
        <v>40</v>
      </c>
      <c r="Q953" t="s">
        <v>26</v>
      </c>
      <c r="R953" t="str">
        <f>TEXT(SalesData[[#This Row],[Order Date]],"mmm")</f>
        <v>Aug</v>
      </c>
      <c r="S953" s="2" t="str">
        <f>"Q"&amp;ROUNDUP(MONTH(SalesData[[#This Row],[Order Date]])/3,0)</f>
        <v>Q3</v>
      </c>
      <c r="T953">
        <f>YEAR(SalesData[[#This Row],[Order Date]])</f>
        <v>2025</v>
      </c>
      <c r="U953">
        <f>SalesData[[#This Row],[Profit]]/SalesData[[#This Row],[Sales]]</f>
        <v>0.26315789473684209</v>
      </c>
    </row>
    <row r="954" spans="1:21" x14ac:dyDescent="0.25">
      <c r="A954" t="s">
        <v>1205</v>
      </c>
      <c r="B954" s="1">
        <v>45904</v>
      </c>
      <c r="C954" t="s">
        <v>182</v>
      </c>
      <c r="D954" t="s">
        <v>391</v>
      </c>
      <c r="E954" t="s">
        <v>70</v>
      </c>
      <c r="F954" t="s">
        <v>71</v>
      </c>
      <c r="G954" t="s">
        <v>22</v>
      </c>
      <c r="H954" t="s">
        <v>65</v>
      </c>
      <c r="I954" t="s">
        <v>72</v>
      </c>
      <c r="J954">
        <v>8</v>
      </c>
      <c r="K954">
        <v>1500</v>
      </c>
      <c r="L954">
        <v>0</v>
      </c>
      <c r="M954">
        <v>12000</v>
      </c>
      <c r="N954">
        <v>8400</v>
      </c>
      <c r="O954">
        <v>3600</v>
      </c>
      <c r="P954" t="s">
        <v>25</v>
      </c>
      <c r="Q954" t="s">
        <v>26</v>
      </c>
      <c r="R954" t="str">
        <f>TEXT(SalesData[[#This Row],[Order Date]],"mmm")</f>
        <v>Sep</v>
      </c>
      <c r="S954" s="2" t="str">
        <f>"Q"&amp;ROUNDUP(MONTH(SalesData[[#This Row],[Order Date]])/3,0)</f>
        <v>Q3</v>
      </c>
      <c r="T954">
        <f>YEAR(SalesData[[#This Row],[Order Date]])</f>
        <v>2025</v>
      </c>
      <c r="U954">
        <f>SalesData[[#This Row],[Profit]]/SalesData[[#This Row],[Sales]]</f>
        <v>0.3</v>
      </c>
    </row>
    <row r="955" spans="1:21" x14ac:dyDescent="0.25">
      <c r="A955" t="s">
        <v>1206</v>
      </c>
      <c r="B955" s="1">
        <v>45679</v>
      </c>
      <c r="C955" t="s">
        <v>381</v>
      </c>
      <c r="D955" t="s">
        <v>420</v>
      </c>
      <c r="E955" t="s">
        <v>93</v>
      </c>
      <c r="F955" t="s">
        <v>94</v>
      </c>
      <c r="G955" t="s">
        <v>64</v>
      </c>
      <c r="H955" t="s">
        <v>23</v>
      </c>
      <c r="I955" t="s">
        <v>72</v>
      </c>
      <c r="J955">
        <v>1</v>
      </c>
      <c r="K955">
        <v>4500</v>
      </c>
      <c r="L955">
        <v>5</v>
      </c>
      <c r="M955">
        <v>4275</v>
      </c>
      <c r="N955">
        <v>3150</v>
      </c>
      <c r="O955">
        <v>1125</v>
      </c>
      <c r="P955" t="s">
        <v>58</v>
      </c>
      <c r="Q955" t="s">
        <v>33</v>
      </c>
      <c r="R955" t="str">
        <f>TEXT(SalesData[[#This Row],[Order Date]],"mmm")</f>
        <v>Jan</v>
      </c>
      <c r="S955" s="2" t="str">
        <f>"Q"&amp;ROUNDUP(MONTH(SalesData[[#This Row],[Order Date]])/3,0)</f>
        <v>Q1</v>
      </c>
      <c r="T955">
        <f>YEAR(SalesData[[#This Row],[Order Date]])</f>
        <v>2025</v>
      </c>
      <c r="U955">
        <f>SalesData[[#This Row],[Profit]]/SalesData[[#This Row],[Sales]]</f>
        <v>0.26315789473684209</v>
      </c>
    </row>
    <row r="956" spans="1:21" x14ac:dyDescent="0.25">
      <c r="A956" t="s">
        <v>1207</v>
      </c>
      <c r="B956" s="1">
        <v>45799</v>
      </c>
      <c r="C956" t="s">
        <v>448</v>
      </c>
      <c r="D956" t="s">
        <v>352</v>
      </c>
      <c r="E956" t="s">
        <v>37</v>
      </c>
      <c r="F956" t="s">
        <v>38</v>
      </c>
      <c r="G956" t="s">
        <v>22</v>
      </c>
      <c r="H956" t="s">
        <v>32</v>
      </c>
      <c r="I956" t="s">
        <v>66</v>
      </c>
      <c r="J956">
        <v>10</v>
      </c>
      <c r="K956">
        <v>55000</v>
      </c>
      <c r="L956">
        <v>15</v>
      </c>
      <c r="M956">
        <v>467500</v>
      </c>
      <c r="N956">
        <v>385000</v>
      </c>
      <c r="O956">
        <v>82500</v>
      </c>
      <c r="P956" t="s">
        <v>58</v>
      </c>
      <c r="Q956" t="s">
        <v>76</v>
      </c>
      <c r="R956" t="str">
        <f>TEXT(SalesData[[#This Row],[Order Date]],"mmm")</f>
        <v>May</v>
      </c>
      <c r="S956" s="2" t="str">
        <f>"Q"&amp;ROUNDUP(MONTH(SalesData[[#This Row],[Order Date]])/3,0)</f>
        <v>Q2</v>
      </c>
      <c r="T956">
        <f>YEAR(SalesData[[#This Row],[Order Date]])</f>
        <v>2025</v>
      </c>
      <c r="U956">
        <f>SalesData[[#This Row],[Profit]]/SalesData[[#This Row],[Sales]]</f>
        <v>0.17647058823529413</v>
      </c>
    </row>
    <row r="957" spans="1:21" x14ac:dyDescent="0.25">
      <c r="A957" t="s">
        <v>1208</v>
      </c>
      <c r="B957" s="1">
        <v>45682</v>
      </c>
      <c r="C957" t="s">
        <v>60</v>
      </c>
      <c r="D957" t="s">
        <v>110</v>
      </c>
      <c r="E957" t="s">
        <v>30</v>
      </c>
      <c r="F957" t="s">
        <v>31</v>
      </c>
      <c r="G957" t="s">
        <v>22</v>
      </c>
      <c r="H957" t="s">
        <v>65</v>
      </c>
      <c r="I957" t="s">
        <v>53</v>
      </c>
      <c r="J957">
        <v>4</v>
      </c>
      <c r="K957">
        <v>800</v>
      </c>
      <c r="L957">
        <v>15</v>
      </c>
      <c r="M957">
        <v>2720</v>
      </c>
      <c r="N957">
        <v>2240</v>
      </c>
      <c r="O957">
        <v>480</v>
      </c>
      <c r="P957" t="s">
        <v>40</v>
      </c>
      <c r="Q957" t="s">
        <v>76</v>
      </c>
      <c r="R957" t="str">
        <f>TEXT(SalesData[[#This Row],[Order Date]],"mmm")</f>
        <v>Jan</v>
      </c>
      <c r="S957" s="2" t="str">
        <f>"Q"&amp;ROUNDUP(MONTH(SalesData[[#This Row],[Order Date]])/3,0)</f>
        <v>Q1</v>
      </c>
      <c r="T957">
        <f>YEAR(SalesData[[#This Row],[Order Date]])</f>
        <v>2025</v>
      </c>
      <c r="U957">
        <f>SalesData[[#This Row],[Profit]]/SalesData[[#This Row],[Sales]]</f>
        <v>0.17647058823529413</v>
      </c>
    </row>
    <row r="958" spans="1:21" x14ac:dyDescent="0.25">
      <c r="A958" t="s">
        <v>1209</v>
      </c>
      <c r="B958" s="1">
        <v>45963</v>
      </c>
      <c r="C958" t="s">
        <v>208</v>
      </c>
      <c r="D958" t="s">
        <v>358</v>
      </c>
      <c r="E958" t="s">
        <v>62</v>
      </c>
      <c r="F958" t="s">
        <v>63</v>
      </c>
      <c r="G958" t="s">
        <v>64</v>
      </c>
      <c r="H958" t="s">
        <v>65</v>
      </c>
      <c r="I958" t="s">
        <v>66</v>
      </c>
      <c r="J958">
        <v>7</v>
      </c>
      <c r="K958">
        <v>8500</v>
      </c>
      <c r="L958">
        <v>10</v>
      </c>
      <c r="M958">
        <v>53550</v>
      </c>
      <c r="N958">
        <v>41650</v>
      </c>
      <c r="O958">
        <v>11900</v>
      </c>
      <c r="P958" t="s">
        <v>25</v>
      </c>
      <c r="Q958" t="s">
        <v>26</v>
      </c>
      <c r="R958" t="str">
        <f>TEXT(SalesData[[#This Row],[Order Date]],"mmm")</f>
        <v>Nov</v>
      </c>
      <c r="S958" s="2" t="str">
        <f>"Q"&amp;ROUNDUP(MONTH(SalesData[[#This Row],[Order Date]])/3,0)</f>
        <v>Q4</v>
      </c>
      <c r="T958">
        <f>YEAR(SalesData[[#This Row],[Order Date]])</f>
        <v>2025</v>
      </c>
      <c r="U958">
        <f>SalesData[[#This Row],[Profit]]/SalesData[[#This Row],[Sales]]</f>
        <v>0.22222222222222221</v>
      </c>
    </row>
    <row r="959" spans="1:21" x14ac:dyDescent="0.25">
      <c r="A959" t="s">
        <v>1210</v>
      </c>
      <c r="B959" s="1">
        <v>45767</v>
      </c>
      <c r="C959" t="s">
        <v>60</v>
      </c>
      <c r="D959" t="s">
        <v>209</v>
      </c>
      <c r="E959" t="s">
        <v>93</v>
      </c>
      <c r="F959" t="s">
        <v>94</v>
      </c>
      <c r="G959" t="s">
        <v>64</v>
      </c>
      <c r="H959" t="s">
        <v>23</v>
      </c>
      <c r="I959" t="s">
        <v>66</v>
      </c>
      <c r="J959">
        <v>2</v>
      </c>
      <c r="K959">
        <v>4500</v>
      </c>
      <c r="L959">
        <v>5</v>
      </c>
      <c r="M959">
        <v>8550</v>
      </c>
      <c r="N959">
        <v>6300</v>
      </c>
      <c r="O959">
        <v>2250</v>
      </c>
      <c r="P959" t="s">
        <v>40</v>
      </c>
      <c r="Q959" t="s">
        <v>33</v>
      </c>
      <c r="R959" t="str">
        <f>TEXT(SalesData[[#This Row],[Order Date]],"mmm")</f>
        <v>Apr</v>
      </c>
      <c r="S959" s="2" t="str">
        <f>"Q"&amp;ROUNDUP(MONTH(SalesData[[#This Row],[Order Date]])/3,0)</f>
        <v>Q2</v>
      </c>
      <c r="T959">
        <f>YEAR(SalesData[[#This Row],[Order Date]])</f>
        <v>2025</v>
      </c>
      <c r="U959">
        <f>SalesData[[#This Row],[Profit]]/SalesData[[#This Row],[Sales]]</f>
        <v>0.26315789473684209</v>
      </c>
    </row>
    <row r="960" spans="1:21" x14ac:dyDescent="0.25">
      <c r="A960" t="s">
        <v>1211</v>
      </c>
      <c r="B960" s="1">
        <v>45666</v>
      </c>
      <c r="C960" t="s">
        <v>208</v>
      </c>
      <c r="D960" t="s">
        <v>305</v>
      </c>
      <c r="E960" t="s">
        <v>20</v>
      </c>
      <c r="F960" t="s">
        <v>21</v>
      </c>
      <c r="G960" t="s">
        <v>22</v>
      </c>
      <c r="H960" t="s">
        <v>65</v>
      </c>
      <c r="I960" t="s">
        <v>24</v>
      </c>
      <c r="J960">
        <v>9</v>
      </c>
      <c r="K960">
        <v>3500</v>
      </c>
      <c r="L960">
        <v>10</v>
      </c>
      <c r="M960">
        <v>28350</v>
      </c>
      <c r="N960">
        <v>22050</v>
      </c>
      <c r="O960">
        <v>6300</v>
      </c>
      <c r="P960" t="s">
        <v>54</v>
      </c>
      <c r="Q960" t="s">
        <v>26</v>
      </c>
      <c r="R960" t="str">
        <f>TEXT(SalesData[[#This Row],[Order Date]],"mmm")</f>
        <v>Jan</v>
      </c>
      <c r="S960" s="2" t="str">
        <f>"Q"&amp;ROUNDUP(MONTH(SalesData[[#This Row],[Order Date]])/3,0)</f>
        <v>Q1</v>
      </c>
      <c r="T960">
        <f>YEAR(SalesData[[#This Row],[Order Date]])</f>
        <v>2025</v>
      </c>
      <c r="U960">
        <f>SalesData[[#This Row],[Profit]]/SalesData[[#This Row],[Sales]]</f>
        <v>0.22222222222222221</v>
      </c>
    </row>
    <row r="961" spans="1:21" x14ac:dyDescent="0.25">
      <c r="A961" t="s">
        <v>1212</v>
      </c>
      <c r="B961" s="1">
        <v>45992</v>
      </c>
      <c r="C961" t="s">
        <v>539</v>
      </c>
      <c r="D961" t="s">
        <v>36</v>
      </c>
      <c r="E961" t="s">
        <v>30</v>
      </c>
      <c r="F961" t="s">
        <v>31</v>
      </c>
      <c r="G961" t="s">
        <v>22</v>
      </c>
      <c r="H961" t="s">
        <v>23</v>
      </c>
      <c r="I961" t="s">
        <v>39</v>
      </c>
      <c r="J961">
        <v>10</v>
      </c>
      <c r="K961">
        <v>800</v>
      </c>
      <c r="L961">
        <v>10</v>
      </c>
      <c r="M961">
        <v>7200</v>
      </c>
      <c r="N961">
        <v>5600</v>
      </c>
      <c r="O961">
        <v>1600</v>
      </c>
      <c r="P961" t="s">
        <v>25</v>
      </c>
      <c r="Q961" t="s">
        <v>76</v>
      </c>
      <c r="R961" t="str">
        <f>TEXT(SalesData[[#This Row],[Order Date]],"mmm")</f>
        <v>Dec</v>
      </c>
      <c r="S961" s="2" t="str">
        <f>"Q"&amp;ROUNDUP(MONTH(SalesData[[#This Row],[Order Date]])/3,0)</f>
        <v>Q4</v>
      </c>
      <c r="T961">
        <f>YEAR(SalesData[[#This Row],[Order Date]])</f>
        <v>2025</v>
      </c>
      <c r="U961">
        <f>SalesData[[#This Row],[Profit]]/SalesData[[#This Row],[Sales]]</f>
        <v>0.22222222222222221</v>
      </c>
    </row>
    <row r="962" spans="1:21" x14ac:dyDescent="0.25">
      <c r="A962" t="s">
        <v>1213</v>
      </c>
      <c r="B962" s="1">
        <v>45733</v>
      </c>
      <c r="C962" t="s">
        <v>280</v>
      </c>
      <c r="D962" t="s">
        <v>133</v>
      </c>
      <c r="E962" t="s">
        <v>70</v>
      </c>
      <c r="F962" t="s">
        <v>71</v>
      </c>
      <c r="G962" t="s">
        <v>22</v>
      </c>
      <c r="H962" t="s">
        <v>23</v>
      </c>
      <c r="I962" t="s">
        <v>80</v>
      </c>
      <c r="J962">
        <v>8</v>
      </c>
      <c r="K962">
        <v>1500</v>
      </c>
      <c r="L962">
        <v>15</v>
      </c>
      <c r="M962">
        <v>10200</v>
      </c>
      <c r="N962">
        <v>8400</v>
      </c>
      <c r="O962">
        <v>1800</v>
      </c>
      <c r="P962" t="s">
        <v>25</v>
      </c>
      <c r="Q962" t="s">
        <v>76</v>
      </c>
      <c r="R962" t="str">
        <f>TEXT(SalesData[[#This Row],[Order Date]],"mmm")</f>
        <v>Mar</v>
      </c>
      <c r="S962" s="2" t="str">
        <f>"Q"&amp;ROUNDUP(MONTH(SalesData[[#This Row],[Order Date]])/3,0)</f>
        <v>Q1</v>
      </c>
      <c r="T962">
        <f>YEAR(SalesData[[#This Row],[Order Date]])</f>
        <v>2025</v>
      </c>
      <c r="U962">
        <f>SalesData[[#This Row],[Profit]]/SalesData[[#This Row],[Sales]]</f>
        <v>0.17647058823529413</v>
      </c>
    </row>
    <row r="963" spans="1:21" x14ac:dyDescent="0.25">
      <c r="A963" t="s">
        <v>1214</v>
      </c>
      <c r="B963" s="1">
        <v>45847</v>
      </c>
      <c r="C963" t="s">
        <v>118</v>
      </c>
      <c r="D963" t="s">
        <v>420</v>
      </c>
      <c r="E963" t="s">
        <v>30</v>
      </c>
      <c r="F963" t="s">
        <v>31</v>
      </c>
      <c r="G963" t="s">
        <v>22</v>
      </c>
      <c r="H963" t="s">
        <v>46</v>
      </c>
      <c r="I963" t="s">
        <v>24</v>
      </c>
      <c r="J963">
        <v>6</v>
      </c>
      <c r="K963">
        <v>800</v>
      </c>
      <c r="L963">
        <v>0</v>
      </c>
      <c r="M963">
        <v>4800</v>
      </c>
      <c r="N963">
        <v>3360</v>
      </c>
      <c r="O963">
        <v>1440</v>
      </c>
      <c r="P963" t="s">
        <v>25</v>
      </c>
      <c r="Q963" t="s">
        <v>26</v>
      </c>
      <c r="R963" t="str">
        <f>TEXT(SalesData[[#This Row],[Order Date]],"mmm")</f>
        <v>Jul</v>
      </c>
      <c r="S963" s="2" t="str">
        <f>"Q"&amp;ROUNDUP(MONTH(SalesData[[#This Row],[Order Date]])/3,0)</f>
        <v>Q3</v>
      </c>
      <c r="T963">
        <f>YEAR(SalesData[[#This Row],[Order Date]])</f>
        <v>2025</v>
      </c>
      <c r="U963">
        <f>SalesData[[#This Row],[Profit]]/SalesData[[#This Row],[Sales]]</f>
        <v>0.3</v>
      </c>
    </row>
    <row r="964" spans="1:21" x14ac:dyDescent="0.25">
      <c r="A964" t="s">
        <v>1215</v>
      </c>
      <c r="B964" s="1">
        <v>45857</v>
      </c>
      <c r="C964" t="s">
        <v>365</v>
      </c>
      <c r="D964" t="s">
        <v>116</v>
      </c>
      <c r="E964" t="s">
        <v>93</v>
      </c>
      <c r="F964" t="s">
        <v>94</v>
      </c>
      <c r="G964" t="s">
        <v>64</v>
      </c>
      <c r="H964" t="s">
        <v>23</v>
      </c>
      <c r="I964" t="s">
        <v>72</v>
      </c>
      <c r="J964">
        <v>10</v>
      </c>
      <c r="K964">
        <v>4500</v>
      </c>
      <c r="L964">
        <v>20</v>
      </c>
      <c r="M964">
        <v>36000</v>
      </c>
      <c r="N964">
        <v>31500</v>
      </c>
      <c r="O964">
        <v>4500.0000000000036</v>
      </c>
      <c r="P964" t="s">
        <v>40</v>
      </c>
      <c r="Q964" t="s">
        <v>33</v>
      </c>
      <c r="R964" t="str">
        <f>TEXT(SalesData[[#This Row],[Order Date]],"mmm")</f>
        <v>Jul</v>
      </c>
      <c r="S964" s="2" t="str">
        <f>"Q"&amp;ROUNDUP(MONTH(SalesData[[#This Row],[Order Date]])/3,0)</f>
        <v>Q3</v>
      </c>
      <c r="T964">
        <f>YEAR(SalesData[[#This Row],[Order Date]])</f>
        <v>2025</v>
      </c>
      <c r="U964">
        <f>SalesData[[#This Row],[Profit]]/SalesData[[#This Row],[Sales]]</f>
        <v>0.12500000000000011</v>
      </c>
    </row>
    <row r="965" spans="1:21" x14ac:dyDescent="0.25">
      <c r="A965" t="s">
        <v>1216</v>
      </c>
      <c r="B965" s="1">
        <v>45973</v>
      </c>
      <c r="C965" t="s">
        <v>539</v>
      </c>
      <c r="D965" t="s">
        <v>253</v>
      </c>
      <c r="E965" t="s">
        <v>70</v>
      </c>
      <c r="F965" t="s">
        <v>71</v>
      </c>
      <c r="G965" t="s">
        <v>22</v>
      </c>
      <c r="H965" t="s">
        <v>65</v>
      </c>
      <c r="I965" t="s">
        <v>80</v>
      </c>
      <c r="J965">
        <v>7</v>
      </c>
      <c r="K965">
        <v>1500</v>
      </c>
      <c r="L965">
        <v>5</v>
      </c>
      <c r="M965">
        <v>9975</v>
      </c>
      <c r="N965">
        <v>7349.9999999999991</v>
      </c>
      <c r="O965">
        <v>2625.0000000000009</v>
      </c>
      <c r="P965" t="s">
        <v>40</v>
      </c>
      <c r="Q965" t="s">
        <v>26</v>
      </c>
      <c r="R965" t="str">
        <f>TEXT(SalesData[[#This Row],[Order Date]],"mmm")</f>
        <v>Nov</v>
      </c>
      <c r="S965" s="2" t="str">
        <f>"Q"&amp;ROUNDUP(MONTH(SalesData[[#This Row],[Order Date]])/3,0)</f>
        <v>Q4</v>
      </c>
      <c r="T965">
        <f>YEAR(SalesData[[#This Row],[Order Date]])</f>
        <v>2025</v>
      </c>
      <c r="U965">
        <f>SalesData[[#This Row],[Profit]]/SalesData[[#This Row],[Sales]]</f>
        <v>0.2631578947368422</v>
      </c>
    </row>
    <row r="966" spans="1:21" x14ac:dyDescent="0.25">
      <c r="A966" t="s">
        <v>1217</v>
      </c>
      <c r="B966" s="1">
        <v>45837</v>
      </c>
      <c r="C966" t="s">
        <v>501</v>
      </c>
      <c r="D966" t="s">
        <v>391</v>
      </c>
      <c r="E966" t="s">
        <v>30</v>
      </c>
      <c r="F966" t="s">
        <v>31</v>
      </c>
      <c r="G966" t="s">
        <v>22</v>
      </c>
      <c r="H966" t="s">
        <v>65</v>
      </c>
      <c r="I966" t="s">
        <v>80</v>
      </c>
      <c r="J966">
        <v>1</v>
      </c>
      <c r="K966">
        <v>800</v>
      </c>
      <c r="L966">
        <v>15</v>
      </c>
      <c r="M966">
        <v>680</v>
      </c>
      <c r="N966">
        <v>560</v>
      </c>
      <c r="O966">
        <v>120</v>
      </c>
      <c r="P966" t="s">
        <v>40</v>
      </c>
      <c r="Q966" t="s">
        <v>76</v>
      </c>
      <c r="R966" t="str">
        <f>TEXT(SalesData[[#This Row],[Order Date]],"mmm")</f>
        <v>Jun</v>
      </c>
      <c r="S966" s="2" t="str">
        <f>"Q"&amp;ROUNDUP(MONTH(SalesData[[#This Row],[Order Date]])/3,0)</f>
        <v>Q2</v>
      </c>
      <c r="T966">
        <f>YEAR(SalesData[[#This Row],[Order Date]])</f>
        <v>2025</v>
      </c>
      <c r="U966">
        <f>SalesData[[#This Row],[Profit]]/SalesData[[#This Row],[Sales]]</f>
        <v>0.17647058823529413</v>
      </c>
    </row>
    <row r="967" spans="1:21" x14ac:dyDescent="0.25">
      <c r="A967" t="s">
        <v>1218</v>
      </c>
      <c r="B967" s="1">
        <v>45781</v>
      </c>
      <c r="C967" t="s">
        <v>277</v>
      </c>
      <c r="D967" t="s">
        <v>230</v>
      </c>
      <c r="E967" t="s">
        <v>50</v>
      </c>
      <c r="F967" t="s">
        <v>51</v>
      </c>
      <c r="G967" t="s">
        <v>52</v>
      </c>
      <c r="H967" t="s">
        <v>32</v>
      </c>
      <c r="I967" t="s">
        <v>66</v>
      </c>
      <c r="J967">
        <v>6</v>
      </c>
      <c r="K967">
        <v>3200</v>
      </c>
      <c r="L967">
        <v>5</v>
      </c>
      <c r="M967">
        <v>18240</v>
      </c>
      <c r="N967">
        <v>13440</v>
      </c>
      <c r="O967">
        <v>4800</v>
      </c>
      <c r="P967" t="s">
        <v>58</v>
      </c>
      <c r="Q967" t="s">
        <v>26</v>
      </c>
      <c r="R967" t="str">
        <f>TEXT(SalesData[[#This Row],[Order Date]],"mmm")</f>
        <v>May</v>
      </c>
      <c r="S967" s="2" t="str">
        <f>"Q"&amp;ROUNDUP(MONTH(SalesData[[#This Row],[Order Date]])/3,0)</f>
        <v>Q2</v>
      </c>
      <c r="T967">
        <f>YEAR(SalesData[[#This Row],[Order Date]])</f>
        <v>2025</v>
      </c>
      <c r="U967">
        <f>SalesData[[#This Row],[Profit]]/SalesData[[#This Row],[Sales]]</f>
        <v>0.26315789473684209</v>
      </c>
    </row>
    <row r="968" spans="1:21" x14ac:dyDescent="0.25">
      <c r="A968" t="s">
        <v>1219</v>
      </c>
      <c r="B968" s="1">
        <v>45871</v>
      </c>
      <c r="C968" t="s">
        <v>88</v>
      </c>
      <c r="D968" t="s">
        <v>240</v>
      </c>
      <c r="E968" t="s">
        <v>50</v>
      </c>
      <c r="F968" t="s">
        <v>51</v>
      </c>
      <c r="G968" t="s">
        <v>52</v>
      </c>
      <c r="H968" t="s">
        <v>46</v>
      </c>
      <c r="I968" t="s">
        <v>72</v>
      </c>
      <c r="J968">
        <v>10</v>
      </c>
      <c r="K968">
        <v>3200</v>
      </c>
      <c r="L968">
        <v>20</v>
      </c>
      <c r="M968">
        <v>25600</v>
      </c>
      <c r="N968">
        <v>22400</v>
      </c>
      <c r="O968">
        <v>3200</v>
      </c>
      <c r="P968" t="s">
        <v>40</v>
      </c>
      <c r="Q968" t="s">
        <v>26</v>
      </c>
      <c r="R968" t="str">
        <f>TEXT(SalesData[[#This Row],[Order Date]],"mmm")</f>
        <v>Aug</v>
      </c>
      <c r="S968" s="2" t="str">
        <f>"Q"&amp;ROUNDUP(MONTH(SalesData[[#This Row],[Order Date]])/3,0)</f>
        <v>Q3</v>
      </c>
      <c r="T968">
        <f>YEAR(SalesData[[#This Row],[Order Date]])</f>
        <v>2025</v>
      </c>
      <c r="U968">
        <f>SalesData[[#This Row],[Profit]]/SalesData[[#This Row],[Sales]]</f>
        <v>0.125</v>
      </c>
    </row>
    <row r="969" spans="1:21" x14ac:dyDescent="0.25">
      <c r="A969" t="s">
        <v>1220</v>
      </c>
      <c r="B969" s="1">
        <v>45675</v>
      </c>
      <c r="C969" t="s">
        <v>270</v>
      </c>
      <c r="D969" t="s">
        <v>555</v>
      </c>
      <c r="E969" t="s">
        <v>44</v>
      </c>
      <c r="F969" t="s">
        <v>45</v>
      </c>
      <c r="G969" t="s">
        <v>22</v>
      </c>
      <c r="H969" t="s">
        <v>23</v>
      </c>
      <c r="I969" t="s">
        <v>66</v>
      </c>
      <c r="J969">
        <v>3</v>
      </c>
      <c r="K969">
        <v>9500</v>
      </c>
      <c r="L969">
        <v>15</v>
      </c>
      <c r="M969">
        <v>24225</v>
      </c>
      <c r="N969">
        <v>19950</v>
      </c>
      <c r="O969">
        <v>4275</v>
      </c>
      <c r="P969" t="s">
        <v>25</v>
      </c>
      <c r="Q969" t="s">
        <v>76</v>
      </c>
      <c r="R969" t="str">
        <f>TEXT(SalesData[[#This Row],[Order Date]],"mmm")</f>
        <v>Jan</v>
      </c>
      <c r="S969" s="2" t="str">
        <f>"Q"&amp;ROUNDUP(MONTH(SalesData[[#This Row],[Order Date]])/3,0)</f>
        <v>Q1</v>
      </c>
      <c r="T969">
        <f>YEAR(SalesData[[#This Row],[Order Date]])</f>
        <v>2025</v>
      </c>
      <c r="U969">
        <f>SalesData[[#This Row],[Profit]]/SalesData[[#This Row],[Sales]]</f>
        <v>0.17647058823529413</v>
      </c>
    </row>
    <row r="970" spans="1:21" x14ac:dyDescent="0.25">
      <c r="A970" t="s">
        <v>1221</v>
      </c>
      <c r="B970" s="1">
        <v>45918</v>
      </c>
      <c r="C970" t="s">
        <v>442</v>
      </c>
      <c r="D970" t="s">
        <v>293</v>
      </c>
      <c r="E970" t="s">
        <v>50</v>
      </c>
      <c r="F970" t="s">
        <v>51</v>
      </c>
      <c r="G970" t="s">
        <v>52</v>
      </c>
      <c r="H970" t="s">
        <v>32</v>
      </c>
      <c r="I970" t="s">
        <v>53</v>
      </c>
      <c r="J970">
        <v>7</v>
      </c>
      <c r="K970">
        <v>3200</v>
      </c>
      <c r="L970">
        <v>5</v>
      </c>
      <c r="M970">
        <v>21280</v>
      </c>
      <c r="N970">
        <v>15680</v>
      </c>
      <c r="O970">
        <v>5600.0000000000018</v>
      </c>
      <c r="P970" t="s">
        <v>40</v>
      </c>
      <c r="Q970" t="s">
        <v>76</v>
      </c>
      <c r="R970" t="str">
        <f>TEXT(SalesData[[#This Row],[Order Date]],"mmm")</f>
        <v>Sep</v>
      </c>
      <c r="S970" s="2" t="str">
        <f>"Q"&amp;ROUNDUP(MONTH(SalesData[[#This Row],[Order Date]])/3,0)</f>
        <v>Q3</v>
      </c>
      <c r="T970">
        <f>YEAR(SalesData[[#This Row],[Order Date]])</f>
        <v>2025</v>
      </c>
      <c r="U970">
        <f>SalesData[[#This Row],[Profit]]/SalesData[[#This Row],[Sales]]</f>
        <v>0.2631578947368422</v>
      </c>
    </row>
    <row r="971" spans="1:21" x14ac:dyDescent="0.25">
      <c r="A971" t="s">
        <v>1222</v>
      </c>
      <c r="B971" s="1">
        <v>45868</v>
      </c>
      <c r="C971" t="s">
        <v>68</v>
      </c>
      <c r="D971" t="s">
        <v>275</v>
      </c>
      <c r="E971" t="s">
        <v>37</v>
      </c>
      <c r="F971" t="s">
        <v>38</v>
      </c>
      <c r="G971" t="s">
        <v>22</v>
      </c>
      <c r="H971" t="s">
        <v>65</v>
      </c>
      <c r="I971" t="s">
        <v>53</v>
      </c>
      <c r="J971">
        <v>10</v>
      </c>
      <c r="K971">
        <v>55000</v>
      </c>
      <c r="L971">
        <v>5</v>
      </c>
      <c r="M971">
        <v>522500</v>
      </c>
      <c r="N971">
        <v>385000</v>
      </c>
      <c r="O971">
        <v>137500</v>
      </c>
      <c r="P971" t="s">
        <v>25</v>
      </c>
      <c r="Q971" t="s">
        <v>26</v>
      </c>
      <c r="R971" t="str">
        <f>TEXT(SalesData[[#This Row],[Order Date]],"mmm")</f>
        <v>Jul</v>
      </c>
      <c r="S971" s="2" t="str">
        <f>"Q"&amp;ROUNDUP(MONTH(SalesData[[#This Row],[Order Date]])/3,0)</f>
        <v>Q3</v>
      </c>
      <c r="T971">
        <f>YEAR(SalesData[[#This Row],[Order Date]])</f>
        <v>2025</v>
      </c>
      <c r="U971">
        <f>SalesData[[#This Row],[Profit]]/SalesData[[#This Row],[Sales]]</f>
        <v>0.26315789473684209</v>
      </c>
    </row>
    <row r="972" spans="1:21" x14ac:dyDescent="0.25">
      <c r="A972" t="s">
        <v>1223</v>
      </c>
      <c r="B972" s="1">
        <v>45874</v>
      </c>
      <c r="C972" t="s">
        <v>214</v>
      </c>
      <c r="D972" t="s">
        <v>209</v>
      </c>
      <c r="E972" t="s">
        <v>20</v>
      </c>
      <c r="F972" t="s">
        <v>21</v>
      </c>
      <c r="G972" t="s">
        <v>22</v>
      </c>
      <c r="H972" t="s">
        <v>46</v>
      </c>
      <c r="I972" t="s">
        <v>24</v>
      </c>
      <c r="J972">
        <v>3</v>
      </c>
      <c r="K972">
        <v>3500</v>
      </c>
      <c r="L972">
        <v>0</v>
      </c>
      <c r="M972">
        <v>10500</v>
      </c>
      <c r="N972">
        <v>7349.9999999999991</v>
      </c>
      <c r="O972">
        <v>3150.0000000000009</v>
      </c>
      <c r="P972" t="s">
        <v>58</v>
      </c>
      <c r="Q972" t="s">
        <v>76</v>
      </c>
      <c r="R972" t="str">
        <f>TEXT(SalesData[[#This Row],[Order Date]],"mmm")</f>
        <v>Aug</v>
      </c>
      <c r="S972" s="2" t="str">
        <f>"Q"&amp;ROUNDUP(MONTH(SalesData[[#This Row],[Order Date]])/3,0)</f>
        <v>Q3</v>
      </c>
      <c r="T972">
        <f>YEAR(SalesData[[#This Row],[Order Date]])</f>
        <v>2025</v>
      </c>
      <c r="U972">
        <f>SalesData[[#This Row],[Profit]]/SalesData[[#This Row],[Sales]]</f>
        <v>0.3000000000000001</v>
      </c>
    </row>
    <row r="973" spans="1:21" x14ac:dyDescent="0.25">
      <c r="A973" t="s">
        <v>1224</v>
      </c>
      <c r="B973" s="1">
        <v>45669</v>
      </c>
      <c r="C973" t="s">
        <v>261</v>
      </c>
      <c r="D973" t="s">
        <v>43</v>
      </c>
      <c r="E973" t="s">
        <v>62</v>
      </c>
      <c r="F973" t="s">
        <v>63</v>
      </c>
      <c r="G973" t="s">
        <v>64</v>
      </c>
      <c r="H973" t="s">
        <v>23</v>
      </c>
      <c r="I973" t="s">
        <v>39</v>
      </c>
      <c r="J973">
        <v>6</v>
      </c>
      <c r="K973">
        <v>8500</v>
      </c>
      <c r="L973">
        <v>0</v>
      </c>
      <c r="M973">
        <v>51000</v>
      </c>
      <c r="N973">
        <v>35700</v>
      </c>
      <c r="O973">
        <v>15300</v>
      </c>
      <c r="P973" t="s">
        <v>25</v>
      </c>
      <c r="Q973" t="s">
        <v>26</v>
      </c>
      <c r="R973" t="str">
        <f>TEXT(SalesData[[#This Row],[Order Date]],"mmm")</f>
        <v>Jan</v>
      </c>
      <c r="S973" s="2" t="str">
        <f>"Q"&amp;ROUNDUP(MONTH(SalesData[[#This Row],[Order Date]])/3,0)</f>
        <v>Q1</v>
      </c>
      <c r="T973">
        <f>YEAR(SalesData[[#This Row],[Order Date]])</f>
        <v>2025</v>
      </c>
      <c r="U973">
        <f>SalesData[[#This Row],[Profit]]/SalesData[[#This Row],[Sales]]</f>
        <v>0.3</v>
      </c>
    </row>
    <row r="974" spans="1:21" x14ac:dyDescent="0.25">
      <c r="A974" t="s">
        <v>1225</v>
      </c>
      <c r="B974" s="1">
        <v>45679</v>
      </c>
      <c r="C974" t="s">
        <v>68</v>
      </c>
      <c r="D974" t="s">
        <v>295</v>
      </c>
      <c r="E974" t="s">
        <v>30</v>
      </c>
      <c r="F974" t="s">
        <v>31</v>
      </c>
      <c r="G974" t="s">
        <v>22</v>
      </c>
      <c r="H974" t="s">
        <v>46</v>
      </c>
      <c r="I974" t="s">
        <v>53</v>
      </c>
      <c r="J974">
        <v>3</v>
      </c>
      <c r="K974">
        <v>800</v>
      </c>
      <c r="L974">
        <v>15</v>
      </c>
      <c r="M974">
        <v>2040</v>
      </c>
      <c r="N974">
        <v>1680</v>
      </c>
      <c r="O974">
        <v>360</v>
      </c>
      <c r="P974" t="s">
        <v>54</v>
      </c>
      <c r="Q974" t="s">
        <v>26</v>
      </c>
      <c r="R974" t="str">
        <f>TEXT(SalesData[[#This Row],[Order Date]],"mmm")</f>
        <v>Jan</v>
      </c>
      <c r="S974" s="2" t="str">
        <f>"Q"&amp;ROUNDUP(MONTH(SalesData[[#This Row],[Order Date]])/3,0)</f>
        <v>Q1</v>
      </c>
      <c r="T974">
        <f>YEAR(SalesData[[#This Row],[Order Date]])</f>
        <v>2025</v>
      </c>
      <c r="U974">
        <f>SalesData[[#This Row],[Profit]]/SalesData[[#This Row],[Sales]]</f>
        <v>0.17647058823529413</v>
      </c>
    </row>
    <row r="975" spans="1:21" x14ac:dyDescent="0.25">
      <c r="A975" t="s">
        <v>1226</v>
      </c>
      <c r="B975" s="1">
        <v>45912</v>
      </c>
      <c r="C975" t="s">
        <v>234</v>
      </c>
      <c r="D975" t="s">
        <v>136</v>
      </c>
      <c r="E975" t="s">
        <v>37</v>
      </c>
      <c r="F975" t="s">
        <v>38</v>
      </c>
      <c r="G975" t="s">
        <v>22</v>
      </c>
      <c r="H975" t="s">
        <v>65</v>
      </c>
      <c r="I975" t="s">
        <v>53</v>
      </c>
      <c r="J975">
        <v>4</v>
      </c>
      <c r="K975">
        <v>55000</v>
      </c>
      <c r="L975">
        <v>10</v>
      </c>
      <c r="M975">
        <v>198000</v>
      </c>
      <c r="N975">
        <v>154000</v>
      </c>
      <c r="O975">
        <v>44000</v>
      </c>
      <c r="P975" t="s">
        <v>58</v>
      </c>
      <c r="Q975" t="s">
        <v>33</v>
      </c>
      <c r="R975" t="str">
        <f>TEXT(SalesData[[#This Row],[Order Date]],"mmm")</f>
        <v>Sep</v>
      </c>
      <c r="S975" s="2" t="str">
        <f>"Q"&amp;ROUNDUP(MONTH(SalesData[[#This Row],[Order Date]])/3,0)</f>
        <v>Q3</v>
      </c>
      <c r="T975">
        <f>YEAR(SalesData[[#This Row],[Order Date]])</f>
        <v>2025</v>
      </c>
      <c r="U975">
        <f>SalesData[[#This Row],[Profit]]/SalesData[[#This Row],[Sales]]</f>
        <v>0.22222222222222221</v>
      </c>
    </row>
    <row r="976" spans="1:21" x14ac:dyDescent="0.25">
      <c r="A976" t="s">
        <v>1227</v>
      </c>
      <c r="B976" s="1">
        <v>45930</v>
      </c>
      <c r="C976" t="s">
        <v>152</v>
      </c>
      <c r="D976" t="s">
        <v>209</v>
      </c>
      <c r="E976" t="s">
        <v>93</v>
      </c>
      <c r="F976" t="s">
        <v>94</v>
      </c>
      <c r="G976" t="s">
        <v>64</v>
      </c>
      <c r="H976" t="s">
        <v>23</v>
      </c>
      <c r="I976" t="s">
        <v>66</v>
      </c>
      <c r="J976">
        <v>6</v>
      </c>
      <c r="K976">
        <v>4500</v>
      </c>
      <c r="L976">
        <v>0</v>
      </c>
      <c r="M976">
        <v>27000</v>
      </c>
      <c r="N976">
        <v>18900</v>
      </c>
      <c r="O976">
        <v>8100</v>
      </c>
      <c r="P976" t="s">
        <v>58</v>
      </c>
      <c r="Q976" t="s">
        <v>76</v>
      </c>
      <c r="R976" t="str">
        <f>TEXT(SalesData[[#This Row],[Order Date]],"mmm")</f>
        <v>Sep</v>
      </c>
      <c r="S976" s="2" t="str">
        <f>"Q"&amp;ROUNDUP(MONTH(SalesData[[#This Row],[Order Date]])/3,0)</f>
        <v>Q3</v>
      </c>
      <c r="T976">
        <f>YEAR(SalesData[[#This Row],[Order Date]])</f>
        <v>2025</v>
      </c>
      <c r="U976">
        <f>SalesData[[#This Row],[Profit]]/SalesData[[#This Row],[Sales]]</f>
        <v>0.3</v>
      </c>
    </row>
    <row r="977" spans="1:21" x14ac:dyDescent="0.25">
      <c r="A977" t="s">
        <v>1228</v>
      </c>
      <c r="B977" s="1">
        <v>46000</v>
      </c>
      <c r="C977" t="s">
        <v>163</v>
      </c>
      <c r="D977" t="s">
        <v>275</v>
      </c>
      <c r="E977" t="s">
        <v>50</v>
      </c>
      <c r="F977" t="s">
        <v>51</v>
      </c>
      <c r="G977" t="s">
        <v>52</v>
      </c>
      <c r="H977" t="s">
        <v>65</v>
      </c>
      <c r="I977" t="s">
        <v>24</v>
      </c>
      <c r="J977">
        <v>9</v>
      </c>
      <c r="K977">
        <v>3200</v>
      </c>
      <c r="L977">
        <v>0</v>
      </c>
      <c r="M977">
        <v>28800</v>
      </c>
      <c r="N977">
        <v>20160</v>
      </c>
      <c r="O977">
        <v>8640</v>
      </c>
      <c r="P977" t="s">
        <v>25</v>
      </c>
      <c r="Q977" t="s">
        <v>76</v>
      </c>
      <c r="R977" t="str">
        <f>TEXT(SalesData[[#This Row],[Order Date]],"mmm")</f>
        <v>Dec</v>
      </c>
      <c r="S977" s="2" t="str">
        <f>"Q"&amp;ROUNDUP(MONTH(SalesData[[#This Row],[Order Date]])/3,0)</f>
        <v>Q4</v>
      </c>
      <c r="T977">
        <f>YEAR(SalesData[[#This Row],[Order Date]])</f>
        <v>2025</v>
      </c>
      <c r="U977">
        <f>SalesData[[#This Row],[Profit]]/SalesData[[#This Row],[Sales]]</f>
        <v>0.3</v>
      </c>
    </row>
    <row r="978" spans="1:21" x14ac:dyDescent="0.25">
      <c r="A978" t="s">
        <v>1229</v>
      </c>
      <c r="B978" s="1">
        <v>45968</v>
      </c>
      <c r="C978" t="s">
        <v>302</v>
      </c>
      <c r="D978" t="s">
        <v>444</v>
      </c>
      <c r="E978" t="s">
        <v>44</v>
      </c>
      <c r="F978" t="s">
        <v>45</v>
      </c>
      <c r="G978" t="s">
        <v>22</v>
      </c>
      <c r="H978" t="s">
        <v>32</v>
      </c>
      <c r="I978" t="s">
        <v>80</v>
      </c>
      <c r="J978">
        <v>3</v>
      </c>
      <c r="K978">
        <v>9500</v>
      </c>
      <c r="L978">
        <v>20</v>
      </c>
      <c r="M978">
        <v>22800</v>
      </c>
      <c r="N978">
        <v>19950</v>
      </c>
      <c r="O978">
        <v>2850</v>
      </c>
      <c r="P978" t="s">
        <v>54</v>
      </c>
      <c r="Q978" t="s">
        <v>76</v>
      </c>
      <c r="R978" t="str">
        <f>TEXT(SalesData[[#This Row],[Order Date]],"mmm")</f>
        <v>Nov</v>
      </c>
      <c r="S978" s="2" t="str">
        <f>"Q"&amp;ROUNDUP(MONTH(SalesData[[#This Row],[Order Date]])/3,0)</f>
        <v>Q4</v>
      </c>
      <c r="T978">
        <f>YEAR(SalesData[[#This Row],[Order Date]])</f>
        <v>2025</v>
      </c>
      <c r="U978">
        <f>SalesData[[#This Row],[Profit]]/SalesData[[#This Row],[Sales]]</f>
        <v>0.125</v>
      </c>
    </row>
    <row r="979" spans="1:21" x14ac:dyDescent="0.25">
      <c r="A979" t="s">
        <v>1230</v>
      </c>
      <c r="B979" s="1">
        <v>45812</v>
      </c>
      <c r="C979" t="s">
        <v>221</v>
      </c>
      <c r="D979" t="s">
        <v>505</v>
      </c>
      <c r="E979" t="s">
        <v>37</v>
      </c>
      <c r="F979" t="s">
        <v>38</v>
      </c>
      <c r="G979" t="s">
        <v>22</v>
      </c>
      <c r="H979" t="s">
        <v>23</v>
      </c>
      <c r="I979" t="s">
        <v>80</v>
      </c>
      <c r="J979">
        <v>2</v>
      </c>
      <c r="K979">
        <v>55000</v>
      </c>
      <c r="L979">
        <v>0</v>
      </c>
      <c r="M979">
        <v>110000</v>
      </c>
      <c r="N979">
        <v>77000</v>
      </c>
      <c r="O979">
        <v>33000</v>
      </c>
      <c r="P979" t="s">
        <v>40</v>
      </c>
      <c r="Q979" t="s">
        <v>33</v>
      </c>
      <c r="R979" t="str">
        <f>TEXT(SalesData[[#This Row],[Order Date]],"mmm")</f>
        <v>Jun</v>
      </c>
      <c r="S979" s="2" t="str">
        <f>"Q"&amp;ROUNDUP(MONTH(SalesData[[#This Row],[Order Date]])/3,0)</f>
        <v>Q2</v>
      </c>
      <c r="T979">
        <f>YEAR(SalesData[[#This Row],[Order Date]])</f>
        <v>2025</v>
      </c>
      <c r="U979">
        <f>SalesData[[#This Row],[Profit]]/SalesData[[#This Row],[Sales]]</f>
        <v>0.3</v>
      </c>
    </row>
    <row r="980" spans="1:21" x14ac:dyDescent="0.25">
      <c r="A980" t="s">
        <v>1231</v>
      </c>
      <c r="B980" s="1">
        <v>45885</v>
      </c>
      <c r="C980" t="s">
        <v>35</v>
      </c>
      <c r="D980" t="s">
        <v>83</v>
      </c>
      <c r="E980" t="s">
        <v>70</v>
      </c>
      <c r="F980" t="s">
        <v>71</v>
      </c>
      <c r="G980" t="s">
        <v>22</v>
      </c>
      <c r="H980" t="s">
        <v>65</v>
      </c>
      <c r="I980" t="s">
        <v>72</v>
      </c>
      <c r="J980">
        <v>2</v>
      </c>
      <c r="K980">
        <v>1500</v>
      </c>
      <c r="L980">
        <v>15</v>
      </c>
      <c r="M980">
        <v>2550</v>
      </c>
      <c r="N980">
        <v>2100</v>
      </c>
      <c r="O980">
        <v>450</v>
      </c>
      <c r="P980" t="s">
        <v>25</v>
      </c>
      <c r="Q980" t="s">
        <v>33</v>
      </c>
      <c r="R980" t="str">
        <f>TEXT(SalesData[[#This Row],[Order Date]],"mmm")</f>
        <v>Aug</v>
      </c>
      <c r="S980" s="2" t="str">
        <f>"Q"&amp;ROUNDUP(MONTH(SalesData[[#This Row],[Order Date]])/3,0)</f>
        <v>Q3</v>
      </c>
      <c r="T980">
        <f>YEAR(SalesData[[#This Row],[Order Date]])</f>
        <v>2025</v>
      </c>
      <c r="U980">
        <f>SalesData[[#This Row],[Profit]]/SalesData[[#This Row],[Sales]]</f>
        <v>0.17647058823529413</v>
      </c>
    </row>
    <row r="981" spans="1:21" x14ac:dyDescent="0.25">
      <c r="A981" t="s">
        <v>1232</v>
      </c>
      <c r="B981" s="1">
        <v>45744</v>
      </c>
      <c r="C981" t="s">
        <v>442</v>
      </c>
      <c r="D981" t="s">
        <v>305</v>
      </c>
      <c r="E981" t="s">
        <v>44</v>
      </c>
      <c r="F981" t="s">
        <v>45</v>
      </c>
      <c r="G981" t="s">
        <v>22</v>
      </c>
      <c r="H981" t="s">
        <v>65</v>
      </c>
      <c r="I981" t="s">
        <v>72</v>
      </c>
      <c r="J981">
        <v>7</v>
      </c>
      <c r="K981">
        <v>9500</v>
      </c>
      <c r="L981">
        <v>5</v>
      </c>
      <c r="M981">
        <v>63175</v>
      </c>
      <c r="N981">
        <v>46550</v>
      </c>
      <c r="O981">
        <v>16625</v>
      </c>
      <c r="P981" t="s">
        <v>40</v>
      </c>
      <c r="Q981" t="s">
        <v>26</v>
      </c>
      <c r="R981" t="str">
        <f>TEXT(SalesData[[#This Row],[Order Date]],"mmm")</f>
        <v>Mar</v>
      </c>
      <c r="S981" s="2" t="str">
        <f>"Q"&amp;ROUNDUP(MONTH(SalesData[[#This Row],[Order Date]])/3,0)</f>
        <v>Q1</v>
      </c>
      <c r="T981">
        <f>YEAR(SalesData[[#This Row],[Order Date]])</f>
        <v>2025</v>
      </c>
      <c r="U981">
        <f>SalesData[[#This Row],[Profit]]/SalesData[[#This Row],[Sales]]</f>
        <v>0.26315789473684209</v>
      </c>
    </row>
    <row r="982" spans="1:21" x14ac:dyDescent="0.25">
      <c r="A982" t="s">
        <v>1233</v>
      </c>
      <c r="B982" s="1">
        <v>46017</v>
      </c>
      <c r="C982" t="s">
        <v>277</v>
      </c>
      <c r="D982" t="s">
        <v>79</v>
      </c>
      <c r="E982" t="s">
        <v>62</v>
      </c>
      <c r="F982" t="s">
        <v>63</v>
      </c>
      <c r="G982" t="s">
        <v>64</v>
      </c>
      <c r="H982" t="s">
        <v>65</v>
      </c>
      <c r="I982" t="s">
        <v>80</v>
      </c>
      <c r="J982">
        <v>1</v>
      </c>
      <c r="K982">
        <v>8500</v>
      </c>
      <c r="L982">
        <v>5</v>
      </c>
      <c r="M982">
        <v>8075</v>
      </c>
      <c r="N982">
        <v>5950</v>
      </c>
      <c r="O982">
        <v>2125</v>
      </c>
      <c r="P982" t="s">
        <v>40</v>
      </c>
      <c r="Q982" t="s">
        <v>33</v>
      </c>
      <c r="R982" t="str">
        <f>TEXT(SalesData[[#This Row],[Order Date]],"mmm")</f>
        <v>Dec</v>
      </c>
      <c r="S982" s="2" t="str">
        <f>"Q"&amp;ROUNDUP(MONTH(SalesData[[#This Row],[Order Date]])/3,0)</f>
        <v>Q4</v>
      </c>
      <c r="T982">
        <f>YEAR(SalesData[[#This Row],[Order Date]])</f>
        <v>2025</v>
      </c>
      <c r="U982">
        <f>SalesData[[#This Row],[Profit]]/SalesData[[#This Row],[Sales]]</f>
        <v>0.26315789473684209</v>
      </c>
    </row>
    <row r="983" spans="1:21" x14ac:dyDescent="0.25">
      <c r="A983" t="s">
        <v>1234</v>
      </c>
      <c r="B983" s="1">
        <v>45925</v>
      </c>
      <c r="C983" t="s">
        <v>273</v>
      </c>
      <c r="D983" t="s">
        <v>355</v>
      </c>
      <c r="E983" t="s">
        <v>20</v>
      </c>
      <c r="F983" t="s">
        <v>21</v>
      </c>
      <c r="G983" t="s">
        <v>22</v>
      </c>
      <c r="H983" t="s">
        <v>46</v>
      </c>
      <c r="I983" t="s">
        <v>53</v>
      </c>
      <c r="J983">
        <v>8</v>
      </c>
      <c r="K983">
        <v>3500</v>
      </c>
      <c r="L983">
        <v>5</v>
      </c>
      <c r="M983">
        <v>26600</v>
      </c>
      <c r="N983">
        <v>19600</v>
      </c>
      <c r="O983">
        <v>7000</v>
      </c>
      <c r="P983" t="s">
        <v>25</v>
      </c>
      <c r="Q983" t="s">
        <v>76</v>
      </c>
      <c r="R983" t="str">
        <f>TEXT(SalesData[[#This Row],[Order Date]],"mmm")</f>
        <v>Sep</v>
      </c>
      <c r="S983" s="2" t="str">
        <f>"Q"&amp;ROUNDUP(MONTH(SalesData[[#This Row],[Order Date]])/3,0)</f>
        <v>Q3</v>
      </c>
      <c r="T983">
        <f>YEAR(SalesData[[#This Row],[Order Date]])</f>
        <v>2025</v>
      </c>
      <c r="U983">
        <f>SalesData[[#This Row],[Profit]]/SalesData[[#This Row],[Sales]]</f>
        <v>0.26315789473684209</v>
      </c>
    </row>
    <row r="984" spans="1:21" x14ac:dyDescent="0.25">
      <c r="A984" t="s">
        <v>1235</v>
      </c>
      <c r="B984" s="1">
        <v>45741</v>
      </c>
      <c r="C984" t="s">
        <v>118</v>
      </c>
      <c r="D984" t="s">
        <v>199</v>
      </c>
      <c r="E984" t="s">
        <v>37</v>
      </c>
      <c r="F984" t="s">
        <v>38</v>
      </c>
      <c r="G984" t="s">
        <v>22</v>
      </c>
      <c r="H984" t="s">
        <v>65</v>
      </c>
      <c r="I984" t="s">
        <v>80</v>
      </c>
      <c r="J984">
        <v>4</v>
      </c>
      <c r="K984">
        <v>55000</v>
      </c>
      <c r="L984">
        <v>10</v>
      </c>
      <c r="M984">
        <v>198000</v>
      </c>
      <c r="N984">
        <v>154000</v>
      </c>
      <c r="O984">
        <v>44000</v>
      </c>
      <c r="P984" t="s">
        <v>58</v>
      </c>
      <c r="Q984" t="s">
        <v>76</v>
      </c>
      <c r="R984" t="str">
        <f>TEXT(SalesData[[#This Row],[Order Date]],"mmm")</f>
        <v>Mar</v>
      </c>
      <c r="S984" s="2" t="str">
        <f>"Q"&amp;ROUNDUP(MONTH(SalesData[[#This Row],[Order Date]])/3,0)</f>
        <v>Q1</v>
      </c>
      <c r="T984">
        <f>YEAR(SalesData[[#This Row],[Order Date]])</f>
        <v>2025</v>
      </c>
      <c r="U984">
        <f>SalesData[[#This Row],[Profit]]/SalesData[[#This Row],[Sales]]</f>
        <v>0.22222222222222221</v>
      </c>
    </row>
    <row r="985" spans="1:21" x14ac:dyDescent="0.25">
      <c r="A985" t="s">
        <v>1236</v>
      </c>
      <c r="B985" s="1">
        <v>45721</v>
      </c>
      <c r="C985" t="s">
        <v>74</v>
      </c>
      <c r="D985" t="s">
        <v>358</v>
      </c>
      <c r="E985" t="s">
        <v>62</v>
      </c>
      <c r="F985" t="s">
        <v>63</v>
      </c>
      <c r="G985" t="s">
        <v>64</v>
      </c>
      <c r="H985" t="s">
        <v>32</v>
      </c>
      <c r="I985" t="s">
        <v>80</v>
      </c>
      <c r="J985">
        <v>5</v>
      </c>
      <c r="K985">
        <v>8500</v>
      </c>
      <c r="L985">
        <v>15</v>
      </c>
      <c r="M985">
        <v>36125</v>
      </c>
      <c r="N985">
        <v>29750</v>
      </c>
      <c r="O985">
        <v>6375.0000000000036</v>
      </c>
      <c r="P985" t="s">
        <v>58</v>
      </c>
      <c r="Q985" t="s">
        <v>76</v>
      </c>
      <c r="R985" t="str">
        <f>TEXT(SalesData[[#This Row],[Order Date]],"mmm")</f>
        <v>Mar</v>
      </c>
      <c r="S985" s="2" t="str">
        <f>"Q"&amp;ROUNDUP(MONTH(SalesData[[#This Row],[Order Date]])/3,0)</f>
        <v>Q1</v>
      </c>
      <c r="T985">
        <f>YEAR(SalesData[[#This Row],[Order Date]])</f>
        <v>2025</v>
      </c>
      <c r="U985">
        <f>SalesData[[#This Row],[Profit]]/SalesData[[#This Row],[Sales]]</f>
        <v>0.17647058823529421</v>
      </c>
    </row>
    <row r="986" spans="1:21" x14ac:dyDescent="0.25">
      <c r="A986" t="s">
        <v>1237</v>
      </c>
      <c r="B986" s="1">
        <v>45663</v>
      </c>
      <c r="C986" t="s">
        <v>96</v>
      </c>
      <c r="D986" t="s">
        <v>238</v>
      </c>
      <c r="E986" t="s">
        <v>30</v>
      </c>
      <c r="F986" t="s">
        <v>31</v>
      </c>
      <c r="G986" t="s">
        <v>22</v>
      </c>
      <c r="H986" t="s">
        <v>23</v>
      </c>
      <c r="I986" t="s">
        <v>24</v>
      </c>
      <c r="J986">
        <v>1</v>
      </c>
      <c r="K986">
        <v>800</v>
      </c>
      <c r="L986">
        <v>10</v>
      </c>
      <c r="M986">
        <v>720</v>
      </c>
      <c r="N986">
        <v>560</v>
      </c>
      <c r="O986">
        <v>160</v>
      </c>
      <c r="P986" t="s">
        <v>40</v>
      </c>
      <c r="Q986" t="s">
        <v>26</v>
      </c>
      <c r="R986" t="str">
        <f>TEXT(SalesData[[#This Row],[Order Date]],"mmm")</f>
        <v>Jan</v>
      </c>
      <c r="S986" s="2" t="str">
        <f>"Q"&amp;ROUNDUP(MONTH(SalesData[[#This Row],[Order Date]])/3,0)</f>
        <v>Q1</v>
      </c>
      <c r="T986">
        <f>YEAR(SalesData[[#This Row],[Order Date]])</f>
        <v>2025</v>
      </c>
      <c r="U986">
        <f>SalesData[[#This Row],[Profit]]/SalesData[[#This Row],[Sales]]</f>
        <v>0.22222222222222221</v>
      </c>
    </row>
    <row r="987" spans="1:21" x14ac:dyDescent="0.25">
      <c r="A987" t="s">
        <v>1238</v>
      </c>
      <c r="B987" s="1">
        <v>45930</v>
      </c>
      <c r="C987" t="s">
        <v>155</v>
      </c>
      <c r="D987" t="s">
        <v>136</v>
      </c>
      <c r="E987" t="s">
        <v>20</v>
      </c>
      <c r="F987" t="s">
        <v>21</v>
      </c>
      <c r="G987" t="s">
        <v>22</v>
      </c>
      <c r="H987" t="s">
        <v>23</v>
      </c>
      <c r="I987" t="s">
        <v>66</v>
      </c>
      <c r="J987">
        <v>9</v>
      </c>
      <c r="K987">
        <v>3500</v>
      </c>
      <c r="L987">
        <v>0</v>
      </c>
      <c r="M987">
        <v>31500</v>
      </c>
      <c r="N987">
        <v>22050</v>
      </c>
      <c r="O987">
        <v>9450</v>
      </c>
      <c r="P987" t="s">
        <v>54</v>
      </c>
      <c r="Q987" t="s">
        <v>76</v>
      </c>
      <c r="R987" t="str">
        <f>TEXT(SalesData[[#This Row],[Order Date]],"mmm")</f>
        <v>Sep</v>
      </c>
      <c r="S987" s="2" t="str">
        <f>"Q"&amp;ROUNDUP(MONTH(SalesData[[#This Row],[Order Date]])/3,0)</f>
        <v>Q3</v>
      </c>
      <c r="T987">
        <f>YEAR(SalesData[[#This Row],[Order Date]])</f>
        <v>2025</v>
      </c>
      <c r="U987">
        <f>SalesData[[#This Row],[Profit]]/SalesData[[#This Row],[Sales]]</f>
        <v>0.3</v>
      </c>
    </row>
    <row r="988" spans="1:21" x14ac:dyDescent="0.25">
      <c r="A988" t="s">
        <v>1239</v>
      </c>
      <c r="B988" s="1">
        <v>45932</v>
      </c>
      <c r="C988" t="s">
        <v>135</v>
      </c>
      <c r="D988" t="s">
        <v>142</v>
      </c>
      <c r="E988" t="s">
        <v>93</v>
      </c>
      <c r="F988" t="s">
        <v>94</v>
      </c>
      <c r="G988" t="s">
        <v>64</v>
      </c>
      <c r="H988" t="s">
        <v>32</v>
      </c>
      <c r="I988" t="s">
        <v>72</v>
      </c>
      <c r="J988">
        <v>2</v>
      </c>
      <c r="K988">
        <v>4500</v>
      </c>
      <c r="L988">
        <v>5</v>
      </c>
      <c r="M988">
        <v>8550</v>
      </c>
      <c r="N988">
        <v>6300</v>
      </c>
      <c r="O988">
        <v>2250</v>
      </c>
      <c r="P988" t="s">
        <v>25</v>
      </c>
      <c r="Q988" t="s">
        <v>26</v>
      </c>
      <c r="R988" t="str">
        <f>TEXT(SalesData[[#This Row],[Order Date]],"mmm")</f>
        <v>Oct</v>
      </c>
      <c r="S988" s="2" t="str">
        <f>"Q"&amp;ROUNDUP(MONTH(SalesData[[#This Row],[Order Date]])/3,0)</f>
        <v>Q4</v>
      </c>
      <c r="T988">
        <f>YEAR(SalesData[[#This Row],[Order Date]])</f>
        <v>2025</v>
      </c>
      <c r="U988">
        <f>SalesData[[#This Row],[Profit]]/SalesData[[#This Row],[Sales]]</f>
        <v>0.26315789473684209</v>
      </c>
    </row>
    <row r="989" spans="1:21" x14ac:dyDescent="0.25">
      <c r="A989" t="s">
        <v>1240</v>
      </c>
      <c r="B989" s="1">
        <v>45984</v>
      </c>
      <c r="C989" t="s">
        <v>115</v>
      </c>
      <c r="D989" t="s">
        <v>43</v>
      </c>
      <c r="E989" t="s">
        <v>93</v>
      </c>
      <c r="F989" t="s">
        <v>94</v>
      </c>
      <c r="G989" t="s">
        <v>64</v>
      </c>
      <c r="H989" t="s">
        <v>32</v>
      </c>
      <c r="I989" t="s">
        <v>24</v>
      </c>
      <c r="J989">
        <v>2</v>
      </c>
      <c r="K989">
        <v>4500</v>
      </c>
      <c r="L989">
        <v>20</v>
      </c>
      <c r="M989">
        <v>7200</v>
      </c>
      <c r="N989">
        <v>6300</v>
      </c>
      <c r="O989">
        <v>900</v>
      </c>
      <c r="P989" t="s">
        <v>25</v>
      </c>
      <c r="Q989" t="s">
        <v>76</v>
      </c>
      <c r="R989" t="str">
        <f>TEXT(SalesData[[#This Row],[Order Date]],"mmm")</f>
        <v>Nov</v>
      </c>
      <c r="S989" s="2" t="str">
        <f>"Q"&amp;ROUNDUP(MONTH(SalesData[[#This Row],[Order Date]])/3,0)</f>
        <v>Q4</v>
      </c>
      <c r="T989">
        <f>YEAR(SalesData[[#This Row],[Order Date]])</f>
        <v>2025</v>
      </c>
      <c r="U989">
        <f>SalesData[[#This Row],[Profit]]/SalesData[[#This Row],[Sales]]</f>
        <v>0.125</v>
      </c>
    </row>
    <row r="990" spans="1:21" x14ac:dyDescent="0.25">
      <c r="A990" t="s">
        <v>1241</v>
      </c>
      <c r="B990" s="1">
        <v>45777</v>
      </c>
      <c r="C990" t="s">
        <v>68</v>
      </c>
      <c r="D990" t="s">
        <v>204</v>
      </c>
      <c r="E990" t="s">
        <v>44</v>
      </c>
      <c r="F990" t="s">
        <v>45</v>
      </c>
      <c r="G990" t="s">
        <v>22</v>
      </c>
      <c r="H990" t="s">
        <v>23</v>
      </c>
      <c r="I990" t="s">
        <v>24</v>
      </c>
      <c r="J990">
        <v>5</v>
      </c>
      <c r="K990">
        <v>9500</v>
      </c>
      <c r="L990">
        <v>10</v>
      </c>
      <c r="M990">
        <v>42750</v>
      </c>
      <c r="N990">
        <v>33250</v>
      </c>
      <c r="O990">
        <v>9500</v>
      </c>
      <c r="P990" t="s">
        <v>54</v>
      </c>
      <c r="Q990" t="s">
        <v>26</v>
      </c>
      <c r="R990" t="str">
        <f>TEXT(SalesData[[#This Row],[Order Date]],"mmm")</f>
        <v>Apr</v>
      </c>
      <c r="S990" s="2" t="str">
        <f>"Q"&amp;ROUNDUP(MONTH(SalesData[[#This Row],[Order Date]])/3,0)</f>
        <v>Q2</v>
      </c>
      <c r="T990">
        <f>YEAR(SalesData[[#This Row],[Order Date]])</f>
        <v>2025</v>
      </c>
      <c r="U990">
        <f>SalesData[[#This Row],[Profit]]/SalesData[[#This Row],[Sales]]</f>
        <v>0.22222222222222221</v>
      </c>
    </row>
    <row r="991" spans="1:21" x14ac:dyDescent="0.25">
      <c r="A991" t="s">
        <v>1242</v>
      </c>
      <c r="B991" s="1">
        <v>45833</v>
      </c>
      <c r="C991" t="s">
        <v>221</v>
      </c>
      <c r="D991" t="s">
        <v>358</v>
      </c>
      <c r="E991" t="s">
        <v>62</v>
      </c>
      <c r="F991" t="s">
        <v>63</v>
      </c>
      <c r="G991" t="s">
        <v>64</v>
      </c>
      <c r="H991" t="s">
        <v>65</v>
      </c>
      <c r="I991" t="s">
        <v>66</v>
      </c>
      <c r="J991">
        <v>9</v>
      </c>
      <c r="K991">
        <v>8500</v>
      </c>
      <c r="L991">
        <v>10</v>
      </c>
      <c r="M991">
        <v>68850</v>
      </c>
      <c r="N991">
        <v>53550</v>
      </c>
      <c r="O991">
        <v>15300</v>
      </c>
      <c r="P991" t="s">
        <v>54</v>
      </c>
      <c r="Q991" t="s">
        <v>76</v>
      </c>
      <c r="R991" t="str">
        <f>TEXT(SalesData[[#This Row],[Order Date]],"mmm")</f>
        <v>Jun</v>
      </c>
      <c r="S991" s="2" t="str">
        <f>"Q"&amp;ROUNDUP(MONTH(SalesData[[#This Row],[Order Date]])/3,0)</f>
        <v>Q2</v>
      </c>
      <c r="T991">
        <f>YEAR(SalesData[[#This Row],[Order Date]])</f>
        <v>2025</v>
      </c>
      <c r="U991">
        <f>SalesData[[#This Row],[Profit]]/SalesData[[#This Row],[Sales]]</f>
        <v>0.22222222222222221</v>
      </c>
    </row>
    <row r="992" spans="1:21" x14ac:dyDescent="0.25">
      <c r="A992" t="s">
        <v>1243</v>
      </c>
      <c r="B992" s="1">
        <v>45985</v>
      </c>
      <c r="C992" t="s">
        <v>56</v>
      </c>
      <c r="D992" t="s">
        <v>336</v>
      </c>
      <c r="E992" t="s">
        <v>62</v>
      </c>
      <c r="F992" t="s">
        <v>63</v>
      </c>
      <c r="G992" t="s">
        <v>64</v>
      </c>
      <c r="H992" t="s">
        <v>46</v>
      </c>
      <c r="I992" t="s">
        <v>39</v>
      </c>
      <c r="J992">
        <v>7</v>
      </c>
      <c r="K992">
        <v>8500</v>
      </c>
      <c r="L992">
        <v>15</v>
      </c>
      <c r="M992">
        <v>50575</v>
      </c>
      <c r="N992">
        <v>41650</v>
      </c>
      <c r="O992">
        <v>8925</v>
      </c>
      <c r="P992" t="s">
        <v>58</v>
      </c>
      <c r="Q992" t="s">
        <v>76</v>
      </c>
      <c r="R992" t="str">
        <f>TEXT(SalesData[[#This Row],[Order Date]],"mmm")</f>
        <v>Nov</v>
      </c>
      <c r="S992" s="2" t="str">
        <f>"Q"&amp;ROUNDUP(MONTH(SalesData[[#This Row],[Order Date]])/3,0)</f>
        <v>Q4</v>
      </c>
      <c r="T992">
        <f>YEAR(SalesData[[#This Row],[Order Date]])</f>
        <v>2025</v>
      </c>
      <c r="U992">
        <f>SalesData[[#This Row],[Profit]]/SalesData[[#This Row],[Sales]]</f>
        <v>0.17647058823529413</v>
      </c>
    </row>
    <row r="993" spans="1:21" x14ac:dyDescent="0.25">
      <c r="A993" t="s">
        <v>1244</v>
      </c>
      <c r="B993" s="1">
        <v>45864</v>
      </c>
      <c r="C993" t="s">
        <v>99</v>
      </c>
      <c r="D993" t="s">
        <v>389</v>
      </c>
      <c r="E993" t="s">
        <v>70</v>
      </c>
      <c r="F993" t="s">
        <v>71</v>
      </c>
      <c r="G993" t="s">
        <v>22</v>
      </c>
      <c r="H993" t="s">
        <v>23</v>
      </c>
      <c r="I993" t="s">
        <v>66</v>
      </c>
      <c r="J993">
        <v>4</v>
      </c>
      <c r="K993">
        <v>1500</v>
      </c>
      <c r="L993">
        <v>20</v>
      </c>
      <c r="M993">
        <v>4800</v>
      </c>
      <c r="N993">
        <v>4200</v>
      </c>
      <c r="O993">
        <v>600</v>
      </c>
      <c r="P993" t="s">
        <v>54</v>
      </c>
      <c r="Q993" t="s">
        <v>26</v>
      </c>
      <c r="R993" t="str">
        <f>TEXT(SalesData[[#This Row],[Order Date]],"mmm")</f>
        <v>Jul</v>
      </c>
      <c r="S993" s="2" t="str">
        <f>"Q"&amp;ROUNDUP(MONTH(SalesData[[#This Row],[Order Date]])/3,0)</f>
        <v>Q3</v>
      </c>
      <c r="T993">
        <f>YEAR(SalesData[[#This Row],[Order Date]])</f>
        <v>2025</v>
      </c>
      <c r="U993">
        <f>SalesData[[#This Row],[Profit]]/SalesData[[#This Row],[Sales]]</f>
        <v>0.125</v>
      </c>
    </row>
    <row r="994" spans="1:21" x14ac:dyDescent="0.25">
      <c r="A994" t="s">
        <v>1245</v>
      </c>
      <c r="B994" s="1">
        <v>45808</v>
      </c>
      <c r="C994" t="s">
        <v>232</v>
      </c>
      <c r="D994" t="s">
        <v>355</v>
      </c>
      <c r="E994" t="s">
        <v>70</v>
      </c>
      <c r="F994" t="s">
        <v>71</v>
      </c>
      <c r="G994" t="s">
        <v>22</v>
      </c>
      <c r="H994" t="s">
        <v>46</v>
      </c>
      <c r="I994" t="s">
        <v>72</v>
      </c>
      <c r="J994">
        <v>6</v>
      </c>
      <c r="K994">
        <v>1500</v>
      </c>
      <c r="L994">
        <v>5</v>
      </c>
      <c r="M994">
        <v>8550</v>
      </c>
      <c r="N994">
        <v>6300</v>
      </c>
      <c r="O994">
        <v>2250</v>
      </c>
      <c r="P994" t="s">
        <v>54</v>
      </c>
      <c r="Q994" t="s">
        <v>76</v>
      </c>
      <c r="R994" t="str">
        <f>TEXT(SalesData[[#This Row],[Order Date]],"mmm")</f>
        <v>May</v>
      </c>
      <c r="S994" s="2" t="str">
        <f>"Q"&amp;ROUNDUP(MONTH(SalesData[[#This Row],[Order Date]])/3,0)</f>
        <v>Q2</v>
      </c>
      <c r="T994">
        <f>YEAR(SalesData[[#This Row],[Order Date]])</f>
        <v>2025</v>
      </c>
      <c r="U994">
        <f>SalesData[[#This Row],[Profit]]/SalesData[[#This Row],[Sales]]</f>
        <v>0.26315789473684209</v>
      </c>
    </row>
    <row r="995" spans="1:21" x14ac:dyDescent="0.25">
      <c r="A995" t="s">
        <v>1246</v>
      </c>
      <c r="B995" s="1">
        <v>45735</v>
      </c>
      <c r="C995" t="s">
        <v>237</v>
      </c>
      <c r="D995" t="s">
        <v>293</v>
      </c>
      <c r="E995" t="s">
        <v>62</v>
      </c>
      <c r="F995" t="s">
        <v>63</v>
      </c>
      <c r="G995" t="s">
        <v>64</v>
      </c>
      <c r="H995" t="s">
        <v>46</v>
      </c>
      <c r="I995" t="s">
        <v>80</v>
      </c>
      <c r="J995">
        <v>5</v>
      </c>
      <c r="K995">
        <v>8500</v>
      </c>
      <c r="L995">
        <v>5</v>
      </c>
      <c r="M995">
        <v>40375</v>
      </c>
      <c r="N995">
        <v>29750</v>
      </c>
      <c r="O995">
        <v>10625</v>
      </c>
      <c r="P995" t="s">
        <v>58</v>
      </c>
      <c r="Q995" t="s">
        <v>33</v>
      </c>
      <c r="R995" t="str">
        <f>TEXT(SalesData[[#This Row],[Order Date]],"mmm")</f>
        <v>Mar</v>
      </c>
      <c r="S995" s="2" t="str">
        <f>"Q"&amp;ROUNDUP(MONTH(SalesData[[#This Row],[Order Date]])/3,0)</f>
        <v>Q1</v>
      </c>
      <c r="T995">
        <f>YEAR(SalesData[[#This Row],[Order Date]])</f>
        <v>2025</v>
      </c>
      <c r="U995">
        <f>SalesData[[#This Row],[Profit]]/SalesData[[#This Row],[Sales]]</f>
        <v>0.26315789473684209</v>
      </c>
    </row>
    <row r="996" spans="1:21" x14ac:dyDescent="0.25">
      <c r="A996" t="s">
        <v>1247</v>
      </c>
      <c r="B996" s="1">
        <v>45827</v>
      </c>
      <c r="C996" t="s">
        <v>132</v>
      </c>
      <c r="D996" t="s">
        <v>196</v>
      </c>
      <c r="E996" t="s">
        <v>70</v>
      </c>
      <c r="F996" t="s">
        <v>71</v>
      </c>
      <c r="G996" t="s">
        <v>22</v>
      </c>
      <c r="H996" t="s">
        <v>23</v>
      </c>
      <c r="I996" t="s">
        <v>39</v>
      </c>
      <c r="J996">
        <v>7</v>
      </c>
      <c r="K996">
        <v>1500</v>
      </c>
      <c r="L996">
        <v>5</v>
      </c>
      <c r="M996">
        <v>9975</v>
      </c>
      <c r="N996">
        <v>7349.9999999999991</v>
      </c>
      <c r="O996">
        <v>2625.0000000000009</v>
      </c>
      <c r="P996" t="s">
        <v>40</v>
      </c>
      <c r="Q996" t="s">
        <v>33</v>
      </c>
      <c r="R996" t="str">
        <f>TEXT(SalesData[[#This Row],[Order Date]],"mmm")</f>
        <v>Jun</v>
      </c>
      <c r="S996" s="2" t="str">
        <f>"Q"&amp;ROUNDUP(MONTH(SalesData[[#This Row],[Order Date]])/3,0)</f>
        <v>Q2</v>
      </c>
      <c r="T996">
        <f>YEAR(SalesData[[#This Row],[Order Date]])</f>
        <v>2025</v>
      </c>
      <c r="U996">
        <f>SalesData[[#This Row],[Profit]]/SalesData[[#This Row],[Sales]]</f>
        <v>0.2631578947368422</v>
      </c>
    </row>
    <row r="997" spans="1:21" x14ac:dyDescent="0.25">
      <c r="A997" t="s">
        <v>1248</v>
      </c>
      <c r="B997" s="1">
        <v>46010</v>
      </c>
      <c r="C997" t="s">
        <v>157</v>
      </c>
      <c r="D997" t="s">
        <v>670</v>
      </c>
      <c r="E997" t="s">
        <v>93</v>
      </c>
      <c r="F997" t="s">
        <v>94</v>
      </c>
      <c r="G997" t="s">
        <v>64</v>
      </c>
      <c r="H997" t="s">
        <v>23</v>
      </c>
      <c r="I997" t="s">
        <v>80</v>
      </c>
      <c r="J997">
        <v>2</v>
      </c>
      <c r="K997">
        <v>4500</v>
      </c>
      <c r="L997">
        <v>10</v>
      </c>
      <c r="M997">
        <v>8100</v>
      </c>
      <c r="N997">
        <v>6300</v>
      </c>
      <c r="O997">
        <v>1800</v>
      </c>
      <c r="P997" t="s">
        <v>25</v>
      </c>
      <c r="Q997" t="s">
        <v>26</v>
      </c>
      <c r="R997" t="str">
        <f>TEXT(SalesData[[#This Row],[Order Date]],"mmm")</f>
        <v>Dec</v>
      </c>
      <c r="S997" s="2" t="str">
        <f>"Q"&amp;ROUNDUP(MONTH(SalesData[[#This Row],[Order Date]])/3,0)</f>
        <v>Q4</v>
      </c>
      <c r="T997">
        <f>YEAR(SalesData[[#This Row],[Order Date]])</f>
        <v>2025</v>
      </c>
      <c r="U997">
        <f>SalesData[[#This Row],[Profit]]/SalesData[[#This Row],[Sales]]</f>
        <v>0.22222222222222221</v>
      </c>
    </row>
    <row r="998" spans="1:21" x14ac:dyDescent="0.25">
      <c r="A998" t="s">
        <v>1249</v>
      </c>
      <c r="B998" s="1">
        <v>45695</v>
      </c>
      <c r="C998" t="s">
        <v>176</v>
      </c>
      <c r="D998" t="s">
        <v>119</v>
      </c>
      <c r="E998" t="s">
        <v>93</v>
      </c>
      <c r="F998" t="s">
        <v>94</v>
      </c>
      <c r="G998" t="s">
        <v>64</v>
      </c>
      <c r="H998" t="s">
        <v>65</v>
      </c>
      <c r="I998" t="s">
        <v>24</v>
      </c>
      <c r="J998">
        <v>8</v>
      </c>
      <c r="K998">
        <v>4500</v>
      </c>
      <c r="L998">
        <v>5</v>
      </c>
      <c r="M998">
        <v>34200</v>
      </c>
      <c r="N998">
        <v>25200</v>
      </c>
      <c r="O998">
        <v>9000</v>
      </c>
      <c r="P998" t="s">
        <v>40</v>
      </c>
      <c r="Q998" t="s">
        <v>76</v>
      </c>
      <c r="R998" t="str">
        <f>TEXT(SalesData[[#This Row],[Order Date]],"mmm")</f>
        <v>Feb</v>
      </c>
      <c r="S998" s="2" t="str">
        <f>"Q"&amp;ROUNDUP(MONTH(SalesData[[#This Row],[Order Date]])/3,0)</f>
        <v>Q1</v>
      </c>
      <c r="T998">
        <f>YEAR(SalesData[[#This Row],[Order Date]])</f>
        <v>2025</v>
      </c>
      <c r="U998">
        <f>SalesData[[#This Row],[Profit]]/SalesData[[#This Row],[Sales]]</f>
        <v>0.26315789473684209</v>
      </c>
    </row>
    <row r="999" spans="1:21" x14ac:dyDescent="0.25">
      <c r="A999" t="s">
        <v>1250</v>
      </c>
      <c r="B999" s="1">
        <v>45931</v>
      </c>
      <c r="C999" t="s">
        <v>315</v>
      </c>
      <c r="D999" t="s">
        <v>196</v>
      </c>
      <c r="E999" t="s">
        <v>37</v>
      </c>
      <c r="F999" t="s">
        <v>38</v>
      </c>
      <c r="G999" t="s">
        <v>22</v>
      </c>
      <c r="H999" t="s">
        <v>23</v>
      </c>
      <c r="I999" t="s">
        <v>66</v>
      </c>
      <c r="J999">
        <v>3</v>
      </c>
      <c r="K999">
        <v>55000</v>
      </c>
      <c r="L999">
        <v>5</v>
      </c>
      <c r="M999">
        <v>156750</v>
      </c>
      <c r="N999">
        <v>115500</v>
      </c>
      <c r="O999">
        <v>41250.000000000007</v>
      </c>
      <c r="P999" t="s">
        <v>40</v>
      </c>
      <c r="Q999" t="s">
        <v>26</v>
      </c>
      <c r="R999" t="str">
        <f>TEXT(SalesData[[#This Row],[Order Date]],"mmm")</f>
        <v>Oct</v>
      </c>
      <c r="S999" s="2" t="str">
        <f>"Q"&amp;ROUNDUP(MONTH(SalesData[[#This Row],[Order Date]])/3,0)</f>
        <v>Q4</v>
      </c>
      <c r="T999">
        <f>YEAR(SalesData[[#This Row],[Order Date]])</f>
        <v>2025</v>
      </c>
      <c r="U999">
        <f>SalesData[[#This Row],[Profit]]/SalesData[[#This Row],[Sales]]</f>
        <v>0.26315789473684215</v>
      </c>
    </row>
    <row r="1000" spans="1:21" x14ac:dyDescent="0.25">
      <c r="A1000" t="s">
        <v>1251</v>
      </c>
      <c r="B1000" s="1">
        <v>45824</v>
      </c>
      <c r="C1000" t="s">
        <v>212</v>
      </c>
      <c r="D1000" t="s">
        <v>166</v>
      </c>
      <c r="E1000" t="s">
        <v>30</v>
      </c>
      <c r="F1000" t="s">
        <v>31</v>
      </c>
      <c r="G1000" t="s">
        <v>22</v>
      </c>
      <c r="H1000" t="s">
        <v>65</v>
      </c>
      <c r="I1000" t="s">
        <v>80</v>
      </c>
      <c r="J1000">
        <v>9</v>
      </c>
      <c r="K1000">
        <v>800</v>
      </c>
      <c r="L1000">
        <v>20</v>
      </c>
      <c r="M1000">
        <v>5760</v>
      </c>
      <c r="N1000">
        <v>5040</v>
      </c>
      <c r="O1000">
        <v>720</v>
      </c>
      <c r="P1000" t="s">
        <v>25</v>
      </c>
      <c r="Q1000" t="s">
        <v>26</v>
      </c>
      <c r="R1000" t="str">
        <f>TEXT(SalesData[[#This Row],[Order Date]],"mmm")</f>
        <v>Jun</v>
      </c>
      <c r="S1000" s="2" t="str">
        <f>"Q"&amp;ROUNDUP(MONTH(SalesData[[#This Row],[Order Date]])/3,0)</f>
        <v>Q2</v>
      </c>
      <c r="T1000">
        <f>YEAR(SalesData[[#This Row],[Order Date]])</f>
        <v>2025</v>
      </c>
      <c r="U1000">
        <f>SalesData[[#This Row],[Profit]]/SalesData[[#This Row],[Sales]]</f>
        <v>0.125</v>
      </c>
    </row>
    <row r="1001" spans="1:21" x14ac:dyDescent="0.25">
      <c r="A1001" t="s">
        <v>1252</v>
      </c>
      <c r="B1001" s="1">
        <v>45706</v>
      </c>
      <c r="C1001" t="s">
        <v>469</v>
      </c>
      <c r="D1001" t="s">
        <v>174</v>
      </c>
      <c r="E1001" t="s">
        <v>37</v>
      </c>
      <c r="F1001" t="s">
        <v>38</v>
      </c>
      <c r="G1001" t="s">
        <v>22</v>
      </c>
      <c r="H1001" t="s">
        <v>46</v>
      </c>
      <c r="I1001" t="s">
        <v>24</v>
      </c>
      <c r="J1001">
        <v>8</v>
      </c>
      <c r="K1001">
        <v>55000</v>
      </c>
      <c r="L1001">
        <v>0</v>
      </c>
      <c r="M1001">
        <v>440000</v>
      </c>
      <c r="N1001">
        <v>308000</v>
      </c>
      <c r="O1001">
        <v>132000</v>
      </c>
      <c r="P1001" t="s">
        <v>25</v>
      </c>
      <c r="Q1001" t="s">
        <v>76</v>
      </c>
      <c r="R1001" t="str">
        <f>TEXT(SalesData[[#This Row],[Order Date]],"mmm")</f>
        <v>Feb</v>
      </c>
      <c r="S1001" s="2" t="str">
        <f>"Q"&amp;ROUNDUP(MONTH(SalesData[[#This Row],[Order Date]])/3,0)</f>
        <v>Q1</v>
      </c>
      <c r="T1001">
        <f>YEAR(SalesData[[#This Row],[Order Date]])</f>
        <v>2025</v>
      </c>
      <c r="U1001">
        <f>SalesData[[#This Row],[Profit]]/SalesData[[#This Row],[Sales]]</f>
        <v>0.3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C289A-7FBF-4A9C-AC81-82B501EE39F2}">
  <dimension ref="B3:AB35"/>
  <sheetViews>
    <sheetView zoomScale="78" zoomScaleNormal="78" workbookViewId="0"/>
  </sheetViews>
  <sheetFormatPr defaultRowHeight="15" x14ac:dyDescent="0.25"/>
  <sheetData>
    <row r="3" spans="2:28" ht="16.5" x14ac:dyDescent="0.3">
      <c r="B3" s="5"/>
      <c r="C3" s="5"/>
      <c r="D3" s="5"/>
      <c r="E3" s="5"/>
      <c r="F3" s="5"/>
      <c r="G3" s="5"/>
      <c r="H3" s="5"/>
      <c r="I3" s="5"/>
      <c r="J3" s="5"/>
      <c r="K3" s="5"/>
      <c r="L3" s="5"/>
      <c r="M3" s="5"/>
      <c r="N3" s="5"/>
      <c r="O3" s="5"/>
      <c r="P3" s="5"/>
      <c r="Q3" s="5"/>
      <c r="R3" s="5"/>
      <c r="S3" s="5"/>
      <c r="T3" s="5"/>
      <c r="U3" s="5"/>
      <c r="V3" s="5"/>
      <c r="W3" s="5"/>
      <c r="X3" s="5"/>
      <c r="Y3" s="5"/>
      <c r="Z3" s="5"/>
      <c r="AA3" s="5"/>
      <c r="AB3" s="5"/>
    </row>
    <row r="4" spans="2:28" ht="16.5" x14ac:dyDescent="0.3">
      <c r="B4" s="5"/>
      <c r="C4" s="5"/>
      <c r="D4" s="5"/>
      <c r="E4" s="5"/>
      <c r="F4" s="5"/>
      <c r="G4" s="5"/>
      <c r="H4" s="5"/>
      <c r="I4" s="5"/>
      <c r="J4" s="5"/>
      <c r="K4" s="5"/>
      <c r="L4" s="5"/>
      <c r="M4" s="5"/>
      <c r="N4" s="5"/>
      <c r="O4" s="5"/>
      <c r="P4" s="5"/>
      <c r="Q4" s="5"/>
      <c r="R4" s="5"/>
      <c r="S4" s="5"/>
      <c r="T4" s="5"/>
      <c r="U4" s="5"/>
      <c r="V4" s="5"/>
      <c r="W4" s="5"/>
      <c r="X4" s="5"/>
      <c r="Y4" s="5"/>
      <c r="Z4" s="5"/>
      <c r="AA4" s="5"/>
      <c r="AB4" s="5"/>
    </row>
    <row r="5" spans="2:28" ht="16.5" x14ac:dyDescent="0.3">
      <c r="B5" s="5"/>
      <c r="C5" s="5"/>
      <c r="D5" s="5"/>
      <c r="E5" s="5"/>
      <c r="F5" s="5"/>
      <c r="G5" s="5"/>
      <c r="H5" s="5"/>
      <c r="I5" s="5"/>
      <c r="J5" s="5"/>
      <c r="K5" s="5"/>
      <c r="L5" s="5"/>
      <c r="M5" s="5"/>
      <c r="N5" s="5"/>
      <c r="O5" s="5"/>
      <c r="P5" s="5"/>
      <c r="Q5" s="5"/>
      <c r="R5" s="5"/>
      <c r="S5" s="5"/>
      <c r="T5" s="5"/>
      <c r="U5" s="5"/>
      <c r="V5" s="5"/>
      <c r="W5" s="5"/>
      <c r="X5" s="5"/>
      <c r="Y5" s="5"/>
      <c r="Z5" s="5"/>
      <c r="AA5" s="5"/>
      <c r="AB5" s="5"/>
    </row>
    <row r="6" spans="2:28" ht="16.5" x14ac:dyDescent="0.3">
      <c r="B6" s="5"/>
      <c r="C6" s="5"/>
      <c r="D6" s="5"/>
      <c r="E6" s="5"/>
      <c r="F6" s="5"/>
      <c r="G6" s="5"/>
      <c r="H6" s="5"/>
      <c r="I6" s="5"/>
      <c r="J6" s="5"/>
      <c r="K6" s="5"/>
      <c r="L6" s="5"/>
      <c r="M6" s="5"/>
      <c r="N6" s="5"/>
      <c r="O6" s="5"/>
      <c r="P6" s="5"/>
      <c r="Q6" s="5"/>
      <c r="R6" s="5"/>
      <c r="S6" s="5"/>
      <c r="T6" s="5"/>
      <c r="U6" s="5"/>
      <c r="V6" s="5"/>
      <c r="W6" s="5"/>
      <c r="X6" s="5"/>
      <c r="Y6" s="5"/>
      <c r="Z6" s="5"/>
      <c r="AA6" s="5"/>
      <c r="AB6" s="5"/>
    </row>
    <row r="7" spans="2:28" ht="16.5" x14ac:dyDescent="0.3">
      <c r="B7" s="5"/>
      <c r="C7" s="5"/>
      <c r="D7" s="5"/>
      <c r="E7" s="5"/>
      <c r="F7" s="5"/>
      <c r="G7" s="5"/>
      <c r="H7" s="5"/>
      <c r="I7" s="5"/>
      <c r="J7" s="5"/>
      <c r="K7" s="5"/>
      <c r="L7" s="5"/>
      <c r="M7" s="5"/>
      <c r="N7" s="5"/>
      <c r="O7" s="5"/>
      <c r="P7" s="5"/>
      <c r="Q7" s="5"/>
      <c r="R7" s="5"/>
      <c r="S7" s="5"/>
      <c r="T7" s="5"/>
      <c r="U7" s="5"/>
      <c r="V7" s="5"/>
      <c r="W7" s="5"/>
      <c r="X7" s="5"/>
      <c r="Y7" s="5"/>
      <c r="Z7" s="5"/>
      <c r="AA7" s="5"/>
      <c r="AB7" s="5"/>
    </row>
    <row r="8" spans="2:28" ht="16.5" x14ac:dyDescent="0.3">
      <c r="B8" s="5"/>
      <c r="C8" s="5"/>
      <c r="D8" s="5"/>
      <c r="E8" s="5"/>
      <c r="F8" s="5"/>
      <c r="G8" s="5"/>
      <c r="H8" s="5"/>
      <c r="I8" s="5"/>
      <c r="J8" s="5"/>
      <c r="K8" s="5"/>
      <c r="L8" s="5"/>
      <c r="M8" s="5"/>
      <c r="N8" s="5"/>
      <c r="O8" s="5"/>
      <c r="P8" s="5"/>
      <c r="Q8" s="5"/>
      <c r="R8" s="5"/>
      <c r="S8" s="5"/>
      <c r="T8" s="5"/>
      <c r="U8" s="5"/>
      <c r="V8" s="5"/>
      <c r="W8" s="5"/>
      <c r="X8" s="5"/>
      <c r="Y8" s="5"/>
      <c r="Z8" s="5"/>
      <c r="AA8" s="5"/>
      <c r="AB8" s="5"/>
    </row>
    <row r="9" spans="2:28" ht="16.5" x14ac:dyDescent="0.3">
      <c r="B9" s="5"/>
      <c r="C9" s="5"/>
      <c r="D9" s="5"/>
      <c r="E9" s="5"/>
      <c r="F9" s="5"/>
      <c r="G9" s="5"/>
      <c r="H9" s="5"/>
      <c r="I9" s="5"/>
      <c r="J9" s="5"/>
      <c r="K9" s="5"/>
      <c r="L9" s="5"/>
      <c r="M9" s="5"/>
      <c r="N9" s="5"/>
      <c r="O9" s="5"/>
      <c r="P9" s="5"/>
      <c r="Q9" s="5"/>
      <c r="R9" s="5"/>
      <c r="S9" s="5"/>
      <c r="T9" s="5"/>
      <c r="U9" s="5"/>
      <c r="V9" s="5"/>
      <c r="W9" s="5"/>
      <c r="X9" s="5"/>
      <c r="Y9" s="5"/>
      <c r="Z9" s="5"/>
      <c r="AA9" s="5"/>
      <c r="AB9" s="5"/>
    </row>
    <row r="10" spans="2:28" ht="16.5" x14ac:dyDescent="0.3">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2:28" ht="16.5" x14ac:dyDescent="0.3">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ht="16.5" x14ac:dyDescent="0.3">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2:28" ht="16.5" x14ac:dyDescent="0.3">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2:28" ht="16.5" x14ac:dyDescent="0.3">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ht="16.5" x14ac:dyDescent="0.3">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2:28" ht="16.5" x14ac:dyDescent="0.3">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2:28" ht="16.5" x14ac:dyDescent="0.3">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ht="16.5" x14ac:dyDescent="0.3">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2:28" ht="16.5" x14ac:dyDescent="0.3">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ht="16.5" x14ac:dyDescent="0.3">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ht="16.5" x14ac:dyDescent="0.3">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2:28" ht="16.5" x14ac:dyDescent="0.3">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2:28" ht="16.5" x14ac:dyDescent="0.3">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ht="16.5" x14ac:dyDescent="0.3">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ht="16.5" x14ac:dyDescent="0.3">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ht="16.5" x14ac:dyDescent="0.3">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ht="16.5" x14ac:dyDescent="0.3">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ht="16.5" x14ac:dyDescent="0.3">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ht="16.5" x14ac:dyDescent="0.3">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ht="16.5" x14ac:dyDescent="0.3">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ht="16.5" x14ac:dyDescent="0.3">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ht="16.5" x14ac:dyDescent="0.3">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ht="16.5" x14ac:dyDescent="0.3">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ht="16.5" x14ac:dyDescent="0.3">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2:28" ht="16.5" x14ac:dyDescent="0.3">
      <c r="B35" s="5"/>
      <c r="C35" s="5"/>
      <c r="D35" s="5"/>
      <c r="E35" s="5"/>
      <c r="F35" s="5"/>
      <c r="G35" s="5"/>
      <c r="H35" s="5"/>
      <c r="I35" s="5"/>
      <c r="J35" s="5"/>
      <c r="K35" s="5"/>
      <c r="L35" s="5"/>
      <c r="M35" s="5"/>
      <c r="N35" s="5"/>
      <c r="O35" s="5"/>
      <c r="P35" s="5"/>
      <c r="Q35" s="5"/>
      <c r="R35" s="5"/>
      <c r="S35" s="5"/>
      <c r="T35" s="5"/>
      <c r="U35" s="5"/>
      <c r="V35" s="5"/>
      <c r="W35" s="5"/>
      <c r="X35" s="5"/>
      <c r="Y35" s="5"/>
      <c r="Z35" s="5"/>
      <c r="AA35" s="5"/>
      <c r="AB3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B35"/>
  <sheetViews>
    <sheetView zoomScale="78" zoomScaleNormal="78" workbookViewId="0"/>
  </sheetViews>
  <sheetFormatPr defaultRowHeight="15" x14ac:dyDescent="0.25"/>
  <sheetData>
    <row r="3" spans="2:28" ht="16.5" x14ac:dyDescent="0.3">
      <c r="B3" s="5"/>
      <c r="C3" s="5"/>
      <c r="D3" s="5"/>
      <c r="E3" s="5"/>
      <c r="F3" s="5"/>
      <c r="G3" s="5"/>
      <c r="H3" s="5"/>
      <c r="I3" s="5"/>
      <c r="J3" s="5"/>
      <c r="K3" s="5"/>
      <c r="L3" s="5"/>
      <c r="M3" s="5"/>
      <c r="N3" s="5"/>
      <c r="O3" s="5"/>
      <c r="P3" s="5"/>
      <c r="Q3" s="5"/>
      <c r="R3" s="5"/>
      <c r="S3" s="5"/>
      <c r="T3" s="5"/>
      <c r="U3" s="5"/>
      <c r="V3" s="5"/>
      <c r="W3" s="5"/>
      <c r="X3" s="5"/>
      <c r="Y3" s="5"/>
      <c r="Z3" s="5"/>
      <c r="AA3" s="5"/>
      <c r="AB3" s="5"/>
    </row>
    <row r="4" spans="2:28" ht="16.5" x14ac:dyDescent="0.3">
      <c r="B4" s="5"/>
      <c r="C4" s="5"/>
      <c r="D4" s="5"/>
      <c r="E4" s="5"/>
      <c r="F4" s="5"/>
      <c r="G4" s="5"/>
      <c r="H4" s="5"/>
      <c r="I4" s="5"/>
      <c r="J4" s="5"/>
      <c r="K4" s="5"/>
      <c r="L4" s="5"/>
      <c r="M4" s="5"/>
      <c r="N4" s="5"/>
      <c r="O4" s="5"/>
      <c r="P4" s="5"/>
      <c r="Q4" s="5"/>
      <c r="R4" s="5"/>
      <c r="S4" s="5"/>
      <c r="T4" s="5"/>
      <c r="U4" s="5"/>
      <c r="V4" s="5"/>
      <c r="W4" s="5"/>
      <c r="X4" s="5"/>
      <c r="Y4" s="5"/>
      <c r="Z4" s="5"/>
      <c r="AA4" s="5"/>
      <c r="AB4" s="5"/>
    </row>
    <row r="5" spans="2:28" ht="16.5" x14ac:dyDescent="0.3">
      <c r="B5" s="5"/>
      <c r="C5" s="5"/>
      <c r="D5" s="5"/>
      <c r="E5" s="5"/>
      <c r="F5" s="5"/>
      <c r="G5" s="5"/>
      <c r="H5" s="5"/>
      <c r="I5" s="5"/>
      <c r="J5" s="5"/>
      <c r="K5" s="5"/>
      <c r="L5" s="5"/>
      <c r="M5" s="5"/>
      <c r="N5" s="5"/>
      <c r="O5" s="5"/>
      <c r="P5" s="5"/>
      <c r="Q5" s="5"/>
      <c r="R5" s="5"/>
      <c r="S5" s="5"/>
      <c r="T5" s="5"/>
      <c r="U5" s="5"/>
      <c r="V5" s="5"/>
      <c r="W5" s="5"/>
      <c r="X5" s="5"/>
      <c r="Y5" s="5"/>
      <c r="Z5" s="5"/>
      <c r="AA5" s="5"/>
      <c r="AB5" s="5"/>
    </row>
    <row r="6" spans="2:28" ht="16.5" x14ac:dyDescent="0.3">
      <c r="B6" s="5"/>
      <c r="C6" s="5"/>
      <c r="D6" s="5"/>
      <c r="E6" s="5"/>
      <c r="F6" s="5"/>
      <c r="G6" s="5"/>
      <c r="H6" s="5"/>
      <c r="I6" s="5"/>
      <c r="J6" s="5"/>
      <c r="K6" s="5"/>
      <c r="L6" s="5"/>
      <c r="M6" s="5"/>
      <c r="N6" s="5"/>
      <c r="O6" s="5"/>
      <c r="P6" s="5"/>
      <c r="Q6" s="5"/>
      <c r="R6" s="5"/>
      <c r="S6" s="5"/>
      <c r="T6" s="5"/>
      <c r="U6" s="5"/>
      <c r="V6" s="5"/>
      <c r="W6" s="5"/>
      <c r="X6" s="5"/>
      <c r="Y6" s="5"/>
      <c r="Z6" s="5"/>
      <c r="AA6" s="5"/>
      <c r="AB6" s="5"/>
    </row>
    <row r="7" spans="2:28" ht="16.5" x14ac:dyDescent="0.3">
      <c r="B7" s="5"/>
      <c r="C7" s="5"/>
      <c r="D7" s="5"/>
      <c r="E7" s="5"/>
      <c r="F7" s="5"/>
      <c r="G7" s="5"/>
      <c r="H7" s="5"/>
      <c r="I7" s="5"/>
      <c r="J7" s="5"/>
      <c r="K7" s="5"/>
      <c r="L7" s="5"/>
      <c r="M7" s="5"/>
      <c r="N7" s="5"/>
      <c r="O7" s="5"/>
      <c r="P7" s="5"/>
      <c r="Q7" s="5"/>
      <c r="R7" s="5"/>
      <c r="S7" s="5"/>
      <c r="T7" s="5"/>
      <c r="U7" s="5"/>
      <c r="V7" s="5"/>
      <c r="W7" s="5"/>
      <c r="X7" s="5"/>
      <c r="Y7" s="5"/>
      <c r="Z7" s="5"/>
      <c r="AA7" s="5"/>
      <c r="AB7" s="5"/>
    </row>
    <row r="8" spans="2:28" ht="16.5" x14ac:dyDescent="0.3">
      <c r="B8" s="5"/>
      <c r="C8" s="5"/>
      <c r="D8" s="5"/>
      <c r="E8" s="5"/>
      <c r="F8" s="5"/>
      <c r="G8" s="5"/>
      <c r="H8" s="5"/>
      <c r="I8" s="5"/>
      <c r="J8" s="5"/>
      <c r="K8" s="5"/>
      <c r="L8" s="5"/>
      <c r="M8" s="5"/>
      <c r="N8" s="5"/>
      <c r="O8" s="5"/>
      <c r="P8" s="5"/>
      <c r="Q8" s="5"/>
      <c r="R8" s="5"/>
      <c r="S8" s="5"/>
      <c r="T8" s="5"/>
      <c r="U8" s="5"/>
      <c r="V8" s="5"/>
      <c r="W8" s="5"/>
      <c r="X8" s="5"/>
      <c r="Y8" s="5"/>
      <c r="Z8" s="5"/>
      <c r="AA8" s="5"/>
      <c r="AB8" s="5"/>
    </row>
    <row r="9" spans="2:28" ht="16.5" x14ac:dyDescent="0.3">
      <c r="B9" s="5"/>
      <c r="C9" s="5"/>
      <c r="D9" s="5"/>
      <c r="E9" s="5"/>
      <c r="F9" s="5"/>
      <c r="G9" s="5"/>
      <c r="H9" s="5"/>
      <c r="I9" s="5"/>
      <c r="J9" s="5"/>
      <c r="K9" s="5"/>
      <c r="L9" s="5"/>
      <c r="M9" s="5"/>
      <c r="N9" s="5"/>
      <c r="O9" s="5"/>
      <c r="P9" s="5"/>
      <c r="Q9" s="5"/>
      <c r="R9" s="5"/>
      <c r="S9" s="5"/>
      <c r="T9" s="5"/>
      <c r="U9" s="5"/>
      <c r="V9" s="5"/>
      <c r="W9" s="5"/>
      <c r="X9" s="5"/>
      <c r="Y9" s="5"/>
      <c r="Z9" s="5"/>
      <c r="AA9" s="5"/>
      <c r="AB9" s="5"/>
    </row>
    <row r="10" spans="2:28" ht="16.5" x14ac:dyDescent="0.3">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2:28" ht="16.5" x14ac:dyDescent="0.3">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ht="16.5" x14ac:dyDescent="0.3">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2:28" ht="16.5" x14ac:dyDescent="0.3">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2:28" ht="16.5" x14ac:dyDescent="0.3">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ht="16.5" x14ac:dyDescent="0.3">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2:28" ht="16.5" x14ac:dyDescent="0.3">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2:28" ht="16.5" x14ac:dyDescent="0.3">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ht="16.5" x14ac:dyDescent="0.3">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2:28" ht="16.5" x14ac:dyDescent="0.3">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ht="16.5" x14ac:dyDescent="0.3">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ht="16.5" x14ac:dyDescent="0.3">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2:28" ht="16.5" x14ac:dyDescent="0.3">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2:28" ht="16.5" x14ac:dyDescent="0.3">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ht="16.5" x14ac:dyDescent="0.3">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ht="16.5" x14ac:dyDescent="0.3">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ht="16.5" x14ac:dyDescent="0.3">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ht="16.5" x14ac:dyDescent="0.3">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ht="16.5" x14ac:dyDescent="0.3">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ht="16.5" x14ac:dyDescent="0.3">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ht="16.5" x14ac:dyDescent="0.3">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ht="16.5" x14ac:dyDescent="0.3">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ht="16.5" x14ac:dyDescent="0.3">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ht="16.5" x14ac:dyDescent="0.3">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ht="16.5" x14ac:dyDescent="0.3">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2:28" ht="16.5" x14ac:dyDescent="0.3">
      <c r="B35" s="5"/>
      <c r="C35" s="5"/>
      <c r="D35" s="5"/>
      <c r="E35" s="5"/>
      <c r="F35" s="5"/>
      <c r="G35" s="5"/>
      <c r="H35" s="5"/>
      <c r="I35" s="5"/>
      <c r="J35" s="5"/>
      <c r="K35" s="5"/>
      <c r="L35" s="5"/>
      <c r="M35" s="5"/>
      <c r="N35" s="5"/>
      <c r="O35" s="5"/>
      <c r="P35" s="5"/>
      <c r="Q35" s="5"/>
      <c r="R35" s="5"/>
      <c r="S35" s="5"/>
      <c r="T35" s="5"/>
      <c r="U35" s="5"/>
      <c r="V35" s="5"/>
      <c r="W35" s="5"/>
      <c r="X35" s="5"/>
      <c r="Y35" s="5"/>
      <c r="Z35" s="5"/>
      <c r="AA35" s="5"/>
      <c r="AB3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AB35"/>
  <sheetViews>
    <sheetView tabSelected="1" zoomScale="78" zoomScaleNormal="78" workbookViewId="0"/>
  </sheetViews>
  <sheetFormatPr defaultRowHeight="15" x14ac:dyDescent="0.25"/>
  <sheetData>
    <row r="3" spans="2:28" ht="16.5" x14ac:dyDescent="0.3">
      <c r="B3" s="5"/>
      <c r="C3" s="5"/>
      <c r="D3" s="5"/>
      <c r="E3" s="5"/>
      <c r="F3" s="5"/>
      <c r="G3" s="5"/>
      <c r="H3" s="5"/>
      <c r="I3" s="5"/>
      <c r="J3" s="5"/>
      <c r="K3" s="5"/>
      <c r="L3" s="5"/>
      <c r="M3" s="5"/>
      <c r="N3" s="5"/>
      <c r="O3" s="5"/>
      <c r="P3" s="5"/>
      <c r="Q3" s="5"/>
      <c r="R3" s="5"/>
      <c r="S3" s="5"/>
      <c r="T3" s="5"/>
      <c r="U3" s="5"/>
      <c r="V3" s="5"/>
      <c r="W3" s="5"/>
      <c r="X3" s="5"/>
      <c r="Y3" s="5"/>
      <c r="Z3" s="5"/>
      <c r="AA3" s="5"/>
      <c r="AB3" s="5"/>
    </row>
    <row r="4" spans="2:28" ht="16.5" x14ac:dyDescent="0.3">
      <c r="B4" s="5"/>
      <c r="C4" s="5"/>
      <c r="D4" s="5"/>
      <c r="E4" s="5"/>
      <c r="F4" s="5"/>
      <c r="G4" s="5"/>
      <c r="H4" s="5"/>
      <c r="I4" s="5"/>
      <c r="J4" s="5"/>
      <c r="K4" s="5"/>
      <c r="L4" s="5"/>
      <c r="M4" s="5"/>
      <c r="N4" s="5"/>
      <c r="O4" s="5"/>
      <c r="P4" s="5"/>
      <c r="Q4" s="5"/>
      <c r="R4" s="5"/>
      <c r="S4" s="5"/>
      <c r="T4" s="5"/>
      <c r="U4" s="5"/>
      <c r="V4" s="5"/>
      <c r="W4" s="5"/>
      <c r="X4" s="5"/>
      <c r="Y4" s="5"/>
      <c r="Z4" s="5"/>
      <c r="AA4" s="5"/>
      <c r="AB4" s="5"/>
    </row>
    <row r="5" spans="2:28" ht="16.5" x14ac:dyDescent="0.3">
      <c r="B5" s="5"/>
      <c r="C5" s="5"/>
      <c r="D5" s="5"/>
      <c r="E5" s="5"/>
      <c r="F5" s="5"/>
      <c r="G5" s="5"/>
      <c r="H5" s="5"/>
      <c r="I5" s="5"/>
      <c r="J5" s="5"/>
      <c r="K5" s="5"/>
      <c r="L5" s="5"/>
      <c r="M5" s="5"/>
      <c r="N5" s="5"/>
      <c r="O5" s="5"/>
      <c r="P5" s="5"/>
      <c r="Q5" s="5"/>
      <c r="R5" s="5"/>
      <c r="S5" s="5"/>
      <c r="T5" s="5"/>
      <c r="U5" s="5"/>
      <c r="V5" s="5"/>
      <c r="W5" s="5"/>
      <c r="X5" s="5"/>
      <c r="Y5" s="5"/>
      <c r="Z5" s="5"/>
      <c r="AA5" s="5"/>
      <c r="AB5" s="5"/>
    </row>
    <row r="6" spans="2:28" ht="16.5" x14ac:dyDescent="0.3">
      <c r="B6" s="5"/>
      <c r="C6" s="5"/>
      <c r="D6" s="5"/>
      <c r="E6" s="5"/>
      <c r="F6" s="5"/>
      <c r="G6" s="5"/>
      <c r="H6" s="5"/>
      <c r="I6" s="5"/>
      <c r="J6" s="5"/>
      <c r="K6" s="5"/>
      <c r="L6" s="5"/>
      <c r="M6" s="5"/>
      <c r="N6" s="5"/>
      <c r="O6" s="5"/>
      <c r="P6" s="5"/>
      <c r="Q6" s="5"/>
      <c r="R6" s="5"/>
      <c r="S6" s="5"/>
      <c r="T6" s="5"/>
      <c r="U6" s="5"/>
      <c r="V6" s="5"/>
      <c r="W6" s="5"/>
      <c r="X6" s="5"/>
      <c r="Y6" s="5"/>
      <c r="Z6" s="5"/>
      <c r="AA6" s="5"/>
      <c r="AB6" s="5"/>
    </row>
    <row r="7" spans="2:28" ht="16.5" x14ac:dyDescent="0.3">
      <c r="B7" s="5"/>
      <c r="C7" s="5"/>
      <c r="D7" s="5"/>
      <c r="E7" s="5"/>
      <c r="F7" s="5"/>
      <c r="G7" s="5"/>
      <c r="H7" s="5"/>
      <c r="I7" s="5"/>
      <c r="J7" s="5"/>
      <c r="K7" s="5"/>
      <c r="L7" s="5"/>
      <c r="M7" s="5"/>
      <c r="N7" s="5"/>
      <c r="O7" s="5"/>
      <c r="P7" s="5"/>
      <c r="Q7" s="5"/>
      <c r="R7" s="5"/>
      <c r="S7" s="5"/>
      <c r="T7" s="5"/>
      <c r="U7" s="5"/>
      <c r="V7" s="5"/>
      <c r="W7" s="5"/>
      <c r="X7" s="5"/>
      <c r="Y7" s="5"/>
      <c r="Z7" s="5"/>
      <c r="AA7" s="5"/>
      <c r="AB7" s="5"/>
    </row>
    <row r="8" spans="2:28" ht="16.5" x14ac:dyDescent="0.3">
      <c r="B8" s="5"/>
      <c r="C8" s="5"/>
      <c r="D8" s="5"/>
      <c r="E8" s="5"/>
      <c r="F8" s="5"/>
      <c r="G8" s="5"/>
      <c r="H8" s="5"/>
      <c r="I8" s="5"/>
      <c r="J8" s="5"/>
      <c r="K8" s="5"/>
      <c r="L8" s="5"/>
      <c r="M8" s="5"/>
      <c r="N8" s="5"/>
      <c r="O8" s="5"/>
      <c r="P8" s="5"/>
      <c r="Q8" s="5"/>
      <c r="R8" s="5"/>
      <c r="S8" s="5"/>
      <c r="T8" s="5"/>
      <c r="U8" s="5"/>
      <c r="V8" s="5"/>
      <c r="W8" s="5"/>
      <c r="X8" s="5"/>
      <c r="Y8" s="5"/>
      <c r="Z8" s="5"/>
      <c r="AA8" s="5"/>
      <c r="AB8" s="5"/>
    </row>
    <row r="9" spans="2:28" ht="16.5" x14ac:dyDescent="0.3">
      <c r="B9" s="5"/>
      <c r="C9" s="5"/>
      <c r="D9" s="5"/>
      <c r="E9" s="5"/>
      <c r="F9" s="5"/>
      <c r="G9" s="5"/>
      <c r="H9" s="5"/>
      <c r="I9" s="5"/>
      <c r="J9" s="5"/>
      <c r="K9" s="5"/>
      <c r="L9" s="5"/>
      <c r="M9" s="5"/>
      <c r="N9" s="5"/>
      <c r="O9" s="5"/>
      <c r="P9" s="5"/>
      <c r="Q9" s="5"/>
      <c r="R9" s="5"/>
      <c r="S9" s="5"/>
      <c r="T9" s="5"/>
      <c r="U9" s="5"/>
      <c r="V9" s="5"/>
      <c r="W9" s="5"/>
      <c r="X9" s="5"/>
      <c r="Y9" s="5"/>
      <c r="Z9" s="5"/>
      <c r="AA9" s="5"/>
      <c r="AB9" s="5"/>
    </row>
    <row r="10" spans="2:28" ht="16.5" x14ac:dyDescent="0.3">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2:28" ht="16.5" x14ac:dyDescent="0.3">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ht="16.5" x14ac:dyDescent="0.3">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2:28" ht="16.5" x14ac:dyDescent="0.3">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2:28" ht="16.5" x14ac:dyDescent="0.3">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ht="16.5" x14ac:dyDescent="0.3">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2:28" ht="16.5" x14ac:dyDescent="0.3">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2:28" ht="16.5" x14ac:dyDescent="0.3">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ht="16.5" x14ac:dyDescent="0.3">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2:28" ht="16.5" x14ac:dyDescent="0.3">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ht="16.5" x14ac:dyDescent="0.3">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ht="16.5" x14ac:dyDescent="0.3">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2:28" ht="16.5" x14ac:dyDescent="0.3">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2:28" ht="16.5" x14ac:dyDescent="0.3">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ht="16.5" x14ac:dyDescent="0.3">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ht="16.5" x14ac:dyDescent="0.3">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ht="16.5" x14ac:dyDescent="0.3">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ht="16.5" x14ac:dyDescent="0.3">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ht="16.5" x14ac:dyDescent="0.3">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ht="16.5" x14ac:dyDescent="0.3">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ht="16.5" x14ac:dyDescent="0.3">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ht="16.5" x14ac:dyDescent="0.3">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ht="16.5" x14ac:dyDescent="0.3">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ht="16.5" x14ac:dyDescent="0.3">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ht="16.5" x14ac:dyDescent="0.3">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2:28" ht="16.5" x14ac:dyDescent="0.3">
      <c r="B35" s="5"/>
      <c r="C35" s="5"/>
      <c r="D35" s="5"/>
      <c r="E35" s="5"/>
      <c r="F35" s="5"/>
      <c r="G35" s="5"/>
      <c r="H35" s="5"/>
      <c r="I35" s="5"/>
      <c r="J35" s="5"/>
      <c r="K35" s="5"/>
      <c r="L35" s="5"/>
      <c r="M35" s="5"/>
      <c r="N35" s="5"/>
      <c r="O35" s="5"/>
      <c r="P35" s="5"/>
      <c r="Q35" s="5"/>
      <c r="R35" s="5"/>
      <c r="S35" s="5"/>
      <c r="T35" s="5"/>
      <c r="U35" s="5"/>
      <c r="V35" s="5"/>
      <c r="W35" s="5"/>
      <c r="X35" s="5"/>
      <c r="Y35" s="5"/>
      <c r="Z35" s="5"/>
      <c r="AA35" s="5"/>
      <c r="AB3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practice deshboard</vt:lpstr>
      <vt:lpstr>Raw_Data</vt:lpstr>
      <vt:lpstr>Region_ Sale deshboard</vt:lpstr>
      <vt:lpstr>Sale_Person Deshboard</vt:lpstr>
      <vt:lpstr>final deshboard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S204</cp:lastModifiedBy>
  <dcterms:created xsi:type="dcterms:W3CDTF">2026-07-24T06:25:00Z</dcterms:created>
  <dcterms:modified xsi:type="dcterms:W3CDTF">2026-09-22T05:14:54Z</dcterms:modified>
</cp:coreProperties>
</file>